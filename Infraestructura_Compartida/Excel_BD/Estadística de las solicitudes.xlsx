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2.xml" ContentType="application/vnd.openxmlformats-officedocument.spreadsheetml.worksheet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tables/table12.xml" ContentType="application/vnd.openxmlformats-officedocument.spreadsheetml.table+xml"/>
  <Override PartName="/xl/worksheets/sheet4.xml" ContentType="application/vnd.openxmlformats-officedocument.spreadsheetml.worksheet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0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RequestStats" sheetId="2" state="visible" r:id="rId2"/>
    <sheet xmlns:r="http://schemas.openxmlformats.org/officeDocument/2006/relationships" name="Interacciones con el portal" sheetId="3" state="visible" r:id="rId3"/>
    <sheet xmlns:r="http://schemas.openxmlformats.org/officeDocument/2006/relationships" name="Prestamo" sheetId="4" state="visible" r:id="rId4"/>
    <sheet xmlns:r="http://schemas.openxmlformats.org/officeDocument/2006/relationships" name="Copia Digital" sheetId="5" state="visible" r:id="rId5"/>
    <sheet xmlns:r="http://schemas.openxmlformats.org/officeDocument/2006/relationships" name="SolicitudesLaFeria" sheetId="6" state="visible" r:id="rId6"/>
    <sheet xmlns:r="http://schemas.openxmlformats.org/officeDocument/2006/relationships" name="InteraccionesLaFeria" sheetId="7" state="visible" r:id="rId7"/>
    <sheet xmlns:r="http://schemas.openxmlformats.org/officeDocument/2006/relationships" name="Digitalización en AG" sheetId="8" state="visible" r:id="rId8"/>
    <sheet xmlns:r="http://schemas.openxmlformats.org/officeDocument/2006/relationships" name="Metricas 2025" sheetId="9" state="visible" r:id="rId9"/>
    <sheet xmlns:r="http://schemas.openxmlformats.org/officeDocument/2006/relationships" name="RequestStats 2025" sheetId="10" state="visible" r:id="rId10"/>
  </sheets>
  <definedNames/>
  <calcPr calcId="191028" calcMode="auto" fullCalcOnLoad="1" forceFullCalc="1"/>
  <pivotCaches>
    <pivotCache xmlns:r="http://schemas.openxmlformats.org/officeDocument/2006/relationships" cacheId="453" r:id="rId11"/>
  </pivotCaches>
</workbook>
</file>

<file path=xl/styles.xml><?xml version="1.0" encoding="utf-8"?>
<styleSheet xmlns="http://schemas.openxmlformats.org/spreadsheetml/2006/main">
  <numFmts count="1">
    <numFmt numFmtId="164" formatCode="dd/mm/yyyy\ h:mm"/>
  </numFmts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b val="1"/>
      <color theme="0"/>
      <sz val="11"/>
      <scheme val="minor"/>
    </font>
    <font>
      <name val="Consolas"/>
      <charset val="1"/>
      <color theme="0"/>
      <sz val="11"/>
    </font>
    <font>
      <name val="Calibri"/>
      <family val="2"/>
      <color rgb="FF000000"/>
      <sz val="11"/>
    </font>
    <font>
      <name val="Calibri"/>
      <color rgb="FF000000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charset val="1"/>
      <color rgb="FF242424"/>
      <sz val="11"/>
    </font>
    <font>
      <name val="Aptos Narrow"/>
      <family val="2"/>
      <b val="1"/>
      <color theme="1"/>
      <sz val="11"/>
      <scheme val="minor"/>
    </font>
    <font>
      <name val="Aptos Display"/>
      <color theme="1"/>
      <sz val="11"/>
      <scheme val="major"/>
    </font>
    <font>
      <name val="Aptos Display"/>
      <b val="1"/>
      <color theme="1"/>
      <sz val="11"/>
      <scheme val="major"/>
    </font>
    <font>
      <name val="Aptos Narrow"/>
      <family val="2"/>
      <b val="1"/>
      <color rgb="FF000000"/>
      <sz val="10"/>
      <scheme val="minor"/>
    </font>
    <font>
      <name val="Aptos Narrow"/>
      <family val="2"/>
      <color theme="1"/>
      <sz val="36"/>
      <scheme val="minor"/>
    </font>
    <font>
      <name val="Aptos Narrow"/>
      <family val="2"/>
      <color theme="1"/>
      <sz val="48"/>
      <scheme val="minor"/>
    </font>
    <font>
      <name val="Impact"/>
      <color theme="0"/>
      <sz val="18"/>
    </font>
    <font>
      <name val="Aptos Narrow"/>
      <color rgb="FF000000"/>
      <sz val="11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0"/>
      <scheme val="minor"/>
    </font>
    <font>
      <name val="Aptos Narrow"/>
      <charset val="1"/>
      <family val="2"/>
      <color rgb="FF242424"/>
      <sz val="11"/>
    </font>
    <font>
      <name val="Aptos Display"/>
      <b val="1"/>
      <color theme="1"/>
      <sz val="11"/>
      <u val="single"/>
      <scheme val="major"/>
    </font>
  </fonts>
  <fills count="16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6"/>
        <bgColor theme="6"/>
      </patternFill>
    </fill>
  </fills>
  <borders count="25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 tint="0.3999755851924192"/>
      </left>
      <right/>
      <top style="thin">
        <color theme="6" tint="0.3999755851924192"/>
      </top>
      <bottom style="thin">
        <color theme="6" tint="0.399975585192419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6" tint="0.3999755851924192"/>
      </top>
      <bottom style="thin">
        <color theme="6" tint="0.3999755851924192"/>
      </bottom>
      <diagonal/>
    </border>
    <border>
      <left/>
      <right style="thin">
        <color theme="6" tint="0.3999755851924192"/>
      </right>
      <top style="thin">
        <color theme="6" tint="0.3999755851924192"/>
      </top>
      <bottom style="thin">
        <color theme="6" tint="0.399975585192419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159">
    <xf numFmtId="0" fontId="0" fillId="0" borderId="0" pivotButton="0" quotePrefix="0" xfId="0"/>
    <xf numFmtId="22" fontId="0" fillId="0" borderId="0" applyAlignment="1" pivotButton="0" quotePrefix="0" xfId="0">
      <alignment wrapText="1"/>
    </xf>
    <xf numFmtId="22" fontId="0" fillId="0" borderId="0" pivotButton="0" quotePrefix="0" xfId="0"/>
    <xf numFmtId="0" fontId="1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22" fontId="7" fillId="0" borderId="0" applyAlignment="1" pivotButton="0" quotePrefix="0" xfId="0">
      <alignment wrapText="1"/>
    </xf>
    <xf numFmtId="0" fontId="7" fillId="5" borderId="0" pivotButton="0" quotePrefix="0" xfId="0"/>
    <xf numFmtId="22" fontId="7" fillId="5" borderId="0" applyAlignment="1" pivotButton="0" quotePrefix="0" xfId="0">
      <alignment wrapText="1"/>
    </xf>
    <xf numFmtId="21" fontId="0" fillId="0" borderId="0" pivotButton="0" quotePrefix="0" xfId="0"/>
    <xf numFmtId="21" fontId="7" fillId="0" borderId="0" pivotButton="0" quotePrefix="0" xfId="0"/>
    <xf numFmtId="21" fontId="7" fillId="5" borderId="0" pivotButton="0" quotePrefix="0" xfId="0"/>
    <xf numFmtId="0" fontId="10" fillId="7" borderId="1" applyAlignment="1" pivotButton="0" quotePrefix="0" xfId="0">
      <alignment wrapText="1"/>
    </xf>
    <xf numFmtId="0" fontId="8" fillId="7" borderId="1" pivotButton="0" quotePrefix="0" xfId="1"/>
    <xf numFmtId="0" fontId="8" fillId="0" borderId="1" pivotButton="0" quotePrefix="0" xfId="1"/>
    <xf numFmtId="0" fontId="10" fillId="7" borderId="3" applyAlignment="1" pivotButton="0" quotePrefix="0" xfId="0">
      <alignment wrapText="1"/>
    </xf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46" fontId="0" fillId="0" borderId="9" pivotButton="0" quotePrefix="0" xfId="0"/>
    <xf numFmtId="0" fontId="3" fillId="0" borderId="0" pivotButton="0" quotePrefix="0" xfId="0"/>
    <xf numFmtId="0" fontId="11" fillId="0" borderId="0" pivotButton="0" quotePrefix="0" xfId="0"/>
    <xf numFmtId="164" fontId="4" fillId="0" borderId="0" pivotButton="0" quotePrefix="0" xfId="0"/>
    <xf numFmtId="164" fontId="6" fillId="0" borderId="0" pivotButton="0" quotePrefix="0" xfId="0"/>
    <xf numFmtId="164" fontId="4" fillId="5" borderId="0" pivotButton="0" quotePrefix="0" xfId="0"/>
    <xf numFmtId="164" fontId="5" fillId="0" borderId="0" pivotButton="0" quotePrefix="0" xfId="0"/>
    <xf numFmtId="0" fontId="0" fillId="5" borderId="0" pivotButton="0" quotePrefix="0" xfId="0"/>
    <xf numFmtId="0" fontId="11" fillId="5" borderId="0" pivotButton="0" quotePrefix="0" xfId="0"/>
    <xf numFmtId="164" fontId="0" fillId="5" borderId="0" pivotButton="0" quotePrefix="0" xfId="0"/>
    <xf numFmtId="21" fontId="0" fillId="5" borderId="0" pivotButton="0" quotePrefix="0" xfId="0"/>
    <xf numFmtId="0" fontId="12" fillId="1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46" fontId="0" fillId="0" borderId="0" pivotButton="0" quotePrefix="0" xfId="0"/>
    <xf numFmtId="0" fontId="0" fillId="12" borderId="0" pivotButton="0" quotePrefix="0" xfId="0"/>
    <xf numFmtId="0" fontId="11" fillId="12" borderId="0" pivotButton="0" quotePrefix="0" xfId="0"/>
    <xf numFmtId="164" fontId="0" fillId="12" borderId="0" pivotButton="0" quotePrefix="0" xfId="0"/>
    <xf numFmtId="22" fontId="0" fillId="12" borderId="0" pivotButton="0" quotePrefix="0" xfId="0"/>
    <xf numFmtId="21" fontId="0" fillId="12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22" fontId="0" fillId="4" borderId="0" applyAlignment="1" pivotButton="0" quotePrefix="0" xfId="0">
      <alignment wrapText="1"/>
    </xf>
    <xf numFmtId="21" fontId="0" fillId="9" borderId="0" applyAlignment="1" pivotButton="0" quotePrefix="0" xfId="0">
      <alignment wrapText="1"/>
    </xf>
    <xf numFmtId="21" fontId="0" fillId="0" borderId="0" applyAlignment="1" pivotButton="0" quotePrefix="0" xfId="0">
      <alignment wrapText="1"/>
    </xf>
    <xf numFmtId="0" fontId="0" fillId="0" borderId="13" pivotButton="0" quotePrefix="0" xfId="0"/>
    <xf numFmtId="0" fontId="12" fillId="0" borderId="0" pivotButton="0" quotePrefix="0" xfId="0"/>
    <xf numFmtId="0" fontId="0" fillId="2" borderId="0" pivotButton="0" quotePrefix="0" xfId="0"/>
    <xf numFmtId="21" fontId="0" fillId="2" borderId="0" pivotButton="0" quotePrefix="0" xfId="0"/>
    <xf numFmtId="0" fontId="1" fillId="2" borderId="0" pivotButton="0" quotePrefix="0" xfId="0"/>
    <xf numFmtId="0" fontId="8" fillId="7" borderId="3" pivotButton="0" quotePrefix="0" xfId="1"/>
    <xf numFmtId="0" fontId="10" fillId="0" borderId="1" pivotButton="0" quotePrefix="0" xfId="0"/>
    <xf numFmtId="22" fontId="10" fillId="0" borderId="1" pivotButton="0" quotePrefix="0" xfId="0"/>
    <xf numFmtId="14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7" borderId="1" pivotButton="0" quotePrefix="0" xfId="0"/>
    <xf numFmtId="22" fontId="10" fillId="7" borderId="1" pivotButton="0" quotePrefix="0" xfId="0"/>
    <xf numFmtId="14" fontId="10" fillId="7" borderId="1" pivotButton="0" quotePrefix="0" xfId="0"/>
    <xf numFmtId="0" fontId="10" fillId="0" borderId="1" applyAlignment="1" pivotButton="0" quotePrefix="1" xfId="0">
      <alignment wrapText="1"/>
    </xf>
    <xf numFmtId="17" fontId="10" fillId="7" borderId="1" pivotButton="0" quotePrefix="0" xfId="0"/>
    <xf numFmtId="17" fontId="10" fillId="0" borderId="1" pivotButton="0" quotePrefix="0" xfId="0"/>
    <xf numFmtId="0" fontId="10" fillId="7" borderId="3" pivotButton="0" quotePrefix="0" xfId="0"/>
    <xf numFmtId="22" fontId="10" fillId="7" borderId="3" pivotButton="0" quotePrefix="0" xfId="0"/>
    <xf numFmtId="14" fontId="10" fillId="7" borderId="3" pivotButton="0" quotePrefix="0" xfId="0"/>
    <xf numFmtId="0" fontId="9" fillId="6" borderId="2" pivotButton="0" quotePrefix="0" xfId="0"/>
    <xf numFmtId="14" fontId="10" fillId="7" borderId="0" pivotButton="0" quotePrefix="0" xfId="0"/>
    <xf numFmtId="14" fontId="19" fillId="7" borderId="0" pivotButton="0" quotePrefix="0" xfId="0"/>
    <xf numFmtId="0" fontId="10" fillId="0" borderId="3" pivotButton="0" quotePrefix="0" xfId="0"/>
    <xf numFmtId="22" fontId="10" fillId="0" borderId="3" pivotButton="0" quotePrefix="0" xfId="0"/>
    <xf numFmtId="0" fontId="10" fillId="0" borderId="3" applyAlignment="1" pivotButton="0" quotePrefix="0" xfId="0">
      <alignment wrapText="1"/>
    </xf>
    <xf numFmtId="0" fontId="15" fillId="0" borderId="14" applyAlignment="1" pivotButton="0" quotePrefix="0" xfId="0">
      <alignment horizontal="center" vertical="center"/>
    </xf>
    <xf numFmtId="0" fontId="12" fillId="0" borderId="12" pivotButton="0" quotePrefix="0" xfId="0"/>
    <xf numFmtId="0" fontId="12" fillId="0" borderId="15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/>
    </xf>
    <xf numFmtId="0" fontId="12" fillId="0" borderId="20" pivotButton="0" quotePrefix="0" xfId="0"/>
    <xf numFmtId="0" fontId="12" fillId="0" borderId="21" applyAlignment="1" pivotButton="0" quotePrefix="0" xfId="0">
      <alignment horizontal="center" vertical="center"/>
    </xf>
    <xf numFmtId="0" fontId="20" fillId="0" borderId="16" pivotButton="0" quotePrefix="0" xfId="0"/>
    <xf numFmtId="0" fontId="21" fillId="0" borderId="17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vertical="center" wrapText="1"/>
    </xf>
    <xf numFmtId="0" fontId="0" fillId="14" borderId="13" pivotButton="0" quotePrefix="0" xfId="0"/>
    <xf numFmtId="0" fontId="0" fillId="14" borderId="22" pivotButton="0" quotePrefix="0" xfId="0"/>
    <xf numFmtId="164" fontId="4" fillId="14" borderId="22" pivotButton="0" quotePrefix="0" xfId="0"/>
    <xf numFmtId="22" fontId="0" fillId="14" borderId="22" applyAlignment="1" pivotButton="0" quotePrefix="0" xfId="0">
      <alignment wrapText="1"/>
    </xf>
    <xf numFmtId="0" fontId="0" fillId="14" borderId="23" applyAlignment="1" pivotButton="0" quotePrefix="0" xfId="0">
      <alignment wrapText="1"/>
    </xf>
    <xf numFmtId="0" fontId="0" fillId="0" borderId="22" pivotButton="0" quotePrefix="0" xfId="0"/>
    <xf numFmtId="164" fontId="4" fillId="0" borderId="22" pivotButton="0" quotePrefix="0" xfId="0"/>
    <xf numFmtId="22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164" fontId="6" fillId="14" borderId="22" pivotButton="0" quotePrefix="0" xfId="0"/>
    <xf numFmtId="0" fontId="0" fillId="14" borderId="23" pivotButton="0" quotePrefix="0" xfId="0"/>
    <xf numFmtId="0" fontId="7" fillId="0" borderId="13" pivotButton="0" quotePrefix="0" xfId="0"/>
    <xf numFmtId="0" fontId="7" fillId="0" borderId="22" pivotButton="0" quotePrefix="0" xfId="0"/>
    <xf numFmtId="0" fontId="0" fillId="0" borderId="23" pivotButton="0" quotePrefix="0" xfId="0"/>
    <xf numFmtId="0" fontId="7" fillId="14" borderId="13" pivotButton="0" quotePrefix="0" xfId="0"/>
    <xf numFmtId="0" fontId="7" fillId="14" borderId="22" pivotButton="0" quotePrefix="0" xfId="0"/>
    <xf numFmtId="0" fontId="7" fillId="14" borderId="23" pivotButton="0" quotePrefix="0" xfId="0"/>
    <xf numFmtId="21" fontId="7" fillId="0" borderId="22" pivotButton="0" quotePrefix="0" xfId="0"/>
    <xf numFmtId="0" fontId="7" fillId="0" borderId="23" pivotButton="0" quotePrefix="0" xfId="0"/>
    <xf numFmtId="22" fontId="7" fillId="14" borderId="22" applyAlignment="1" pivotButton="0" quotePrefix="0" xfId="0">
      <alignment wrapText="1"/>
    </xf>
    <xf numFmtId="22" fontId="7" fillId="0" borderId="22" applyAlignment="1" pivotButton="0" quotePrefix="0" xfId="0">
      <alignment wrapText="1"/>
    </xf>
    <xf numFmtId="0" fontId="7" fillId="5" borderId="13" pivotButton="0" quotePrefix="0" xfId="0"/>
    <xf numFmtId="0" fontId="7" fillId="5" borderId="22" pivotButton="0" quotePrefix="0" xfId="0"/>
    <xf numFmtId="164" fontId="4" fillId="5" borderId="22" pivotButton="0" quotePrefix="0" xfId="0"/>
    <xf numFmtId="22" fontId="7" fillId="5" borderId="22" applyAlignment="1" pivotButton="0" quotePrefix="0" xfId="0">
      <alignment wrapText="1"/>
    </xf>
    <xf numFmtId="164" fontId="5" fillId="14" borderId="22" pivotButton="0" quotePrefix="0" xfId="0"/>
    <xf numFmtId="164" fontId="5" fillId="0" borderId="22" pivotButton="0" quotePrefix="0" xfId="0"/>
    <xf numFmtId="0" fontId="1" fillId="0" borderId="23" pivotButton="0" quotePrefix="0" xfId="0"/>
    <xf numFmtId="0" fontId="22" fillId="14" borderId="22" pivotButton="0" quotePrefix="0" xfId="0"/>
    <xf numFmtId="164" fontId="0" fillId="14" borderId="22" pivotButton="0" quotePrefix="0" xfId="0"/>
    <xf numFmtId="0" fontId="22" fillId="0" borderId="22" pivotButton="0" quotePrefix="0" xfId="0"/>
    <xf numFmtId="164" fontId="0" fillId="0" borderId="22" pivotButton="0" quotePrefix="0" xfId="0"/>
    <xf numFmtId="22" fontId="0" fillId="0" borderId="22" pivotButton="0" quotePrefix="0" xfId="0"/>
    <xf numFmtId="22" fontId="0" fillId="14" borderId="22" pivotButton="0" quotePrefix="0" xfId="0"/>
    <xf numFmtId="0" fontId="0" fillId="12" borderId="13" pivotButton="0" quotePrefix="0" xfId="0"/>
    <xf numFmtId="0" fontId="22" fillId="12" borderId="22" pivotButton="0" quotePrefix="0" xfId="0"/>
    <xf numFmtId="164" fontId="0" fillId="12" borderId="22" pivotButton="0" quotePrefix="0" xfId="0"/>
    <xf numFmtId="0" fontId="0" fillId="12" borderId="22" pivotButton="0" quotePrefix="0" xfId="0"/>
    <xf numFmtId="22" fontId="0" fillId="12" borderId="22" pivotButton="0" quotePrefix="0" xfId="0"/>
    <xf numFmtId="0" fontId="0" fillId="5" borderId="13" pivotButton="0" quotePrefix="0" xfId="0"/>
    <xf numFmtId="0" fontId="22" fillId="5" borderId="22" pivotButton="0" quotePrefix="0" xfId="0"/>
    <xf numFmtId="164" fontId="0" fillId="5" borderId="22" pivotButton="0" quotePrefix="0" xfId="0"/>
    <xf numFmtId="0" fontId="0" fillId="5" borderId="22" pivotButton="0" quotePrefix="0" xfId="0"/>
    <xf numFmtId="21" fontId="0" fillId="5" borderId="22" pivotButton="0" quotePrefix="0" xfId="0"/>
    <xf numFmtId="0" fontId="22" fillId="0" borderId="13" pivotButton="0" quotePrefix="0" xfId="0"/>
    <xf numFmtId="0" fontId="22" fillId="14" borderId="13" pivotButton="0" quotePrefix="0" xfId="0"/>
    <xf numFmtId="0" fontId="2" fillId="15" borderId="13" applyAlignment="1" pivotButton="0" quotePrefix="0" xfId="0">
      <alignment wrapText="1"/>
    </xf>
    <xf numFmtId="0" fontId="2" fillId="15" borderId="22" applyAlignment="1" pivotButton="0" quotePrefix="0" xfId="0">
      <alignment wrapText="1"/>
    </xf>
    <xf numFmtId="164" fontId="2" fillId="15" borderId="22" applyAlignment="1" pivotButton="0" quotePrefix="0" xfId="0">
      <alignment wrapText="1"/>
    </xf>
    <xf numFmtId="0" fontId="2" fillId="2" borderId="22" applyAlignment="1" pivotButton="0" quotePrefix="0" xfId="0">
      <alignment wrapText="1"/>
    </xf>
    <xf numFmtId="22" fontId="2" fillId="4" borderId="22" applyAlignment="1" pivotButton="0" quotePrefix="0" xfId="0">
      <alignment wrapText="1"/>
    </xf>
    <xf numFmtId="21" fontId="2" fillId="9" borderId="22" applyAlignment="1" pivotButton="0" quotePrefix="0" xfId="0">
      <alignment wrapText="1"/>
    </xf>
    <xf numFmtId="21" fontId="2" fillId="15" borderId="22" applyAlignment="1" pivotButton="0" quotePrefix="0" xfId="0">
      <alignment wrapText="1"/>
    </xf>
    <xf numFmtId="0" fontId="2" fillId="15" borderId="23" applyAlignment="1" pivotButton="0" quotePrefix="0" xfId="0">
      <alignment wrapText="1"/>
    </xf>
    <xf numFmtId="49" fontId="0" fillId="0" borderId="0" pivotButton="0" quotePrefix="0" xfId="0"/>
    <xf numFmtId="14" fontId="0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14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23" fillId="8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0" fillId="0" borderId="10" pivotButton="0" quotePrefix="0" xfId="0"/>
    <xf numFmtId="0" fontId="0" fillId="0" borderId="5" pivotButton="0" quotePrefix="0" xfId="0"/>
  </cellXfs>
  <cellStyles count="2">
    <cellStyle name="Normal" xfId="0" builtinId="0"/>
    <cellStyle name="Hyperlink" xfId="1"/>
  </cellStyles>
  <dxfs count="169">
    <dxf>
      <font>
        <color rgb="FFFFFF00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26" formatCode="h:mm:ss"/>
    </dxf>
    <dxf>
      <numFmt numFmtId="27" formatCode="d/m/yyyy\ h:mm"/>
    </dxf>
    <dxf>
      <numFmt numFmtId="0" formatCode="General"/>
    </dxf>
    <dxf>
      <numFmt numFmtId="164" formatCode="dd/mm/yyyy\ h:mm"/>
    </dxf>
    <dxf>
      <numFmt numFmtId="164" formatCode="dd/mm/yyyy\ h:mm"/>
    </dxf>
    <dxf>
      <alignment wrapText="1"/>
    </dxf>
    <dxf>
      <font>
        <color rgb="FFFFFF00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6" formatCode="h:mm:ss"/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numFmt numFmtId="0" formatCode="General"/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theme="5" tint="0.5999938962981048"/>
        </patternFill>
      </fill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theme="5" tint="0.599993896298104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  <scheme val="minor"/>
      </font>
      <fill>
        <patternFill>
          <fgColor indexed="64"/>
          <bgColor theme="4" tint="0.3999755851924192"/>
        </patternFill>
      </fill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/>
      </fill>
    </dxf>
    <dxf>
      <font>
        <color theme="0"/>
      </font>
      <fill>
        <patternFill/>
      </fill>
    </dxf>
    <dxf>
      <numFmt numFmtId="30" formatCode="@"/>
    </dxf>
    <dxf>
      <numFmt numFmtId="164" formatCode="dd/mm/yyyy\ 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/m/yyyy"/>
    </dxf>
    <dxf>
      <numFmt numFmtId="19" formatCode="d/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\ h:mm"/>
    </dxf>
    <dxf>
      <numFmt numFmtId="30" formatCode="@"/>
    </dxf>
    <dxf>
      <numFmt numFmtId="30" formatCode="@"/>
    </dxf>
    <dxf>
      <numFmt numFmtId="164" formatCode="dd/mm/yyyy\ 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/m/yyyy"/>
    </dxf>
    <dxf>
      <numFmt numFmtId="19" formatCode="d/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\ h:mm"/>
    </dxf>
    <dxf>
      <numFmt numFmtId="30" formatCode="@"/>
    </dxf>
    <dxf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 wrapText="1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27" formatCode="d/m/yyyy\ h:mm"/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56082"/>
          <bgColor rgb="FF156082"/>
        </patternFill>
      </fill>
      <alignment horizontal="general" vertical="bottom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 wrapText="1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 wrapText="1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27" formatCode="d/m/yyyy\ h:mm"/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56082"/>
          <bgColor rgb="FF156082"/>
        </patternFill>
      </fill>
      <alignment horizontal="general" vertical="bottom"/>
    </dxf>
    <dxf>
      <numFmt numFmtId="164" formatCode="dd/mm/yyyy\ h:mm"/>
    </dxf>
    <dxf>
      <numFmt numFmtId="164" formatCode="dd/mm/yyyy\ h:mm"/>
    </dxf>
    <dxf>
      <alignment wrapText="1"/>
    </dxf>
    <dxf>
      <numFmt numFmtId="0" formatCode="General"/>
    </dxf>
    <dxf>
      <numFmt numFmtId="0" formatCode="General"/>
    </dxf>
    <dxf>
      <numFmt numFmtId="26" formatCode="h:mm:ss"/>
    </dxf>
    <dxf>
      <numFmt numFmtId="27" formatCode="d/m/yyyy\ h:mm"/>
    </dxf>
    <dxf>
      <numFmt numFmtId="0" formatCode="General"/>
    </dxf>
    <dxf>
      <numFmt numFmtId="164" formatCode="dd/mm/yyyy\ h:mm"/>
    </dxf>
    <dxf>
      <numFmt numFmtId="164" formatCode="dd/mm/yyyy\ h:mm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numFmt numFmtId="26" formatCode="h:mm:ss"/>
    </dxf>
    <dxf>
      <numFmt numFmtId="0" formatCode="General"/>
    </dxf>
    <dxf>
      <numFmt numFmtId="0" formatCode="General"/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font/>
      <numFmt numFmtId="0" formatCode="General"/>
      <border>
        <left style="medium">
          <color rgb="FF000000"/>
        </left>
      </border>
    </dxf>
    <dxf>
      <numFmt numFmtId="31" formatCode="[h]:mm:ss"/>
    </dxf>
    <dxf>
      <border>
        <left style="medium">
          <color rgb="FF000000"/>
        </left>
      </border>
    </dxf>
    <dxf>
      <numFmt numFmtId="0" formatCode="General"/>
      <border>
        <left style="medium">
          <color rgb="FF000000"/>
        </left>
      </border>
    </dxf>
    <dxf>
      <border>
        <left style="medium">
          <color rgb="FF000000"/>
        </left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pivotCacheDefinition" Target="/xl/pivotCache/pivotCacheDefinition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Comportamiento de las respuestas en 2 hora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solidFill xmlns:a="http://schemas.openxmlformats.org/drawingml/2006/main">
              <a:srgbClr val="4EA72E"/>
            </a:solidFill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A72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ADADAD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Metricas!$C$3:$D$3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Metricas!$C$4:$D$4</f>
              <numCache>
                <formatCode>General</formatCode>
                <ptCount val="2"/>
                <pt idx="0">
                  <v>835</v>
                </pt>
                <pt idx="1">
                  <v>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Prudencia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3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4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5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6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7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8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9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0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1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12"/>
        <spPr>
          <a:solidFill xmlns:a="http://schemas.openxmlformats.org/drawingml/2006/main">
            <a:srgbClr val="4EA72E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3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</pivotFmts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A72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ADADAD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Ref>
              <f>Metricas!$F$3:$G$3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Metricas!$F$4:$G$4</f>
              <numCache>
                <formatCode>General</formatCode>
                <ptCount val="2"/>
                <pt idx="0">
                  <v>785</v>
                </pt>
                <pt idx="1">
                  <v>126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43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1200" b="0" i="0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T1 - Tiempo de Respuesta</a:t>
            </a:r>
          </a:p>
        </rich>
      </tx>
      <layout>
        <manualLayout>
          <xMode val="edge"/>
          <yMode val="edge"/>
          <wMode val="factor"/>
          <hMode val="factor"/>
          <x val="0.02742129456040218"/>
          <y val="0.02712523810777833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tx>
            <v>T1 - Respuestas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Metricas!$C$64:$D$64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Metricas!$C$65:$D$65</f>
              <numCache>
                <formatCode>General</formatCode>
                <ptCount val="2"/>
                <pt idx="0">
                  <v>207</v>
                </pt>
                <pt idx="1">
                  <v>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b"/>
      <layout>
        <manualLayout>
          <xMode val="edge"/>
          <yMode val="edge"/>
          <wMode val="factor"/>
          <hMode val="factor"/>
          <x val="0.02314571789637407"/>
          <y val="0.9013372659521238"/>
          <w val="0.4775180880167757"/>
          <h val="0.0752513628104179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T1 - Prudencia</a:t>
            </a:r>
          </a:p>
        </rich>
      </tx>
      <layout>
        <manualLayout>
          <xMode val="edge"/>
          <yMode val="edge"/>
          <wMode val="factor"/>
          <hMode val="factor"/>
          <x val="0.520674851882411"/>
          <y val="0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solidFill xmlns:a="http://schemas.openxmlformats.org/drawingml/2006/main">
              <a:srgbClr val="4EA72E"/>
            </a:solidFill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A72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D0D0D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Metricas!$F$64:$G$64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Metricas!$F$65:$G$65</f>
              <numCache>
                <formatCode>General</formatCode>
                <ptCount val="2"/>
                <pt idx="0">
                  <v>195</v>
                </pt>
                <pt idx="1">
                  <v>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b"/>
      <layout>
        <manualLayout>
          <xMode val="edge"/>
          <yMode val="edge"/>
          <wMode val="factor"/>
          <hMode val="factor"/>
          <x val="0.1154364393641534"/>
          <y val="0.8815781185246581"/>
          <w val="0.865752550161999"/>
          <h val="0.0752513628104179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Atención de los gestores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Metricas!I2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Metricas!$H$3:$H$13</f>
              <strCache>
                <ptCount val="11"/>
                <pt idx="0">
                  <v>Andersson Beltre</v>
                </pt>
                <pt idx="1">
                  <v>Genaro Corporan B</v>
                </pt>
                <pt idx="2">
                  <v>Julio Angel Thomas GarcIa</v>
                </pt>
                <pt idx="3">
                  <v>Kevin F Fernandez U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Manuel Polanco Mercedes</v>
                </pt>
                <pt idx="7">
                  <v>Federico Arsenio Lachapel</v>
                </pt>
                <pt idx="8">
                  <v>Julio Adolfo Merino Feliciano</v>
                </pt>
                <pt idx="9">
                  <v>Jose Arturo Guzman Coste</v>
                </pt>
                <pt idx="10">
                  <v>Gestor Documental</v>
                </pt>
              </strCache>
            </strRef>
          </cat>
          <val>
            <numRef>
              <f>Metricas!$I$3:$I$13</f>
              <numCache>
                <formatCode>General</formatCode>
                <ptCount val="11"/>
                <pt idx="0">
                  <v>34</v>
                </pt>
                <pt idx="1">
                  <v>3</v>
                </pt>
                <pt idx="2">
                  <v>65</v>
                </pt>
                <pt idx="3">
                  <v>23</v>
                </pt>
                <pt idx="4">
                  <v>61</v>
                </pt>
                <pt idx="5">
                  <v>176</v>
                </pt>
                <pt idx="6">
                  <v>135</v>
                </pt>
                <pt idx="7">
                  <v>218</v>
                </pt>
                <pt idx="8">
                  <v>4</v>
                </pt>
                <pt idx="9">
                  <v>188</v>
                </pt>
                <pt idx="1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overlap val="-30"/>
        <axId val="1510031880"/>
        <axId val="1510034440"/>
      </barChart>
      <catAx>
        <axId val="1510031880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Gestores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0034440"/>
        <crosses val="autoZero"/>
        <auto val="1"/>
        <lblAlgn val="ctr"/>
        <lblOffset val="100"/>
        <noMultiLvlLbl val="0"/>
      </catAx>
      <valAx>
        <axId val="15100344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003188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Gestores "A tiempo vs Fuera de tiempo"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A tiempo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Metricas!$H$3:$H$13</f>
              <strCache>
                <ptCount val="11"/>
                <pt idx="0">
                  <v>Andersson Beltre</v>
                </pt>
                <pt idx="1">
                  <v>Genaro Corporan B</v>
                </pt>
                <pt idx="2">
                  <v>Julio Angel Thomas GarcIa</v>
                </pt>
                <pt idx="3">
                  <v>Kevin F Fernandez U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Manuel Polanco Mercedes</v>
                </pt>
                <pt idx="7">
                  <v>Federico Arsenio Lachapel</v>
                </pt>
                <pt idx="8">
                  <v>Julio Adolfo Merino Feliciano</v>
                </pt>
                <pt idx="9">
                  <v>Jose Arturo Guzman Coste</v>
                </pt>
                <pt idx="10">
                  <v>Gestor Documental</v>
                </pt>
              </strCache>
            </strRef>
          </cat>
          <val>
            <numRef>
              <f>Metricas!$J$3:$J$13</f>
              <numCache>
                <formatCode>General</formatCode>
                <ptCount val="11"/>
                <pt idx="0">
                  <v>34</v>
                </pt>
                <pt idx="1">
                  <v>3</v>
                </pt>
                <pt idx="2">
                  <v>56</v>
                </pt>
                <pt idx="3">
                  <v>20</v>
                </pt>
                <pt idx="4">
                  <v>52</v>
                </pt>
                <pt idx="5">
                  <v>152</v>
                </pt>
                <pt idx="6">
                  <v>122</v>
                </pt>
                <pt idx="7">
                  <v>207</v>
                </pt>
                <pt idx="8">
                  <v>4</v>
                </pt>
                <pt idx="9">
                  <v>180</v>
                </pt>
                <pt idx="10">
                  <v>0</v>
                </pt>
              </numCache>
            </numRef>
          </val>
        </ser>
        <ser>
          <idx val="1"/>
          <order val="1"/>
          <tx>
            <v>Fuera de tiempo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Metricas!$H$3:$H$13</f>
              <strCache>
                <ptCount val="11"/>
                <pt idx="0">
                  <v>Andersson Beltre</v>
                </pt>
                <pt idx="1">
                  <v>Genaro Corporan B</v>
                </pt>
                <pt idx="2">
                  <v>Julio Angel Thomas GarcIa</v>
                </pt>
                <pt idx="3">
                  <v>Kevin F Fernandez U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Manuel Polanco Mercedes</v>
                </pt>
                <pt idx="7">
                  <v>Federico Arsenio Lachapel</v>
                </pt>
                <pt idx="8">
                  <v>Julio Adolfo Merino Feliciano</v>
                </pt>
                <pt idx="9">
                  <v>Jose Arturo Guzman Coste</v>
                </pt>
                <pt idx="10">
                  <v>Gestor Documental</v>
                </pt>
              </strCache>
            </strRef>
          </cat>
          <val>
            <numRef>
              <f>Metricas!$K$3:$K$13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9</v>
                </pt>
                <pt idx="3">
                  <v>3</v>
                </pt>
                <pt idx="4">
                  <v>9</v>
                </pt>
                <pt idx="5">
                  <v>24</v>
                </pt>
                <pt idx="6">
                  <v>13</v>
                </pt>
                <pt idx="7">
                  <v>11</v>
                </pt>
                <pt idx="8">
                  <v>0</v>
                </pt>
                <pt idx="9">
                  <v>8</v>
                </pt>
                <pt idx="1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40"/>
        <overlap val="-30"/>
        <axId val="1483778567"/>
        <axId val="1510157320"/>
      </barChart>
      <catAx>
        <axId val="1483778567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Gestores Kevin F Fernandez U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0157320"/>
        <crosses val="autoZero"/>
        <auto val="1"/>
        <lblAlgn val="ctr"/>
        <lblOffset val="100"/>
        <noMultiLvlLbl val="0"/>
      </catAx>
      <valAx>
        <axId val="15101573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8377856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Atención de los Gestores T1 - 2026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Metricas!$I$63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Metricas!$H$64:$H$73</f>
              <strCache>
                <ptCount val="10"/>
                <pt idx="0">
                  <v>Kevin F Fernandez U</v>
                </pt>
                <pt idx="1">
                  <v>Moises Antonio Laureano Mateo</v>
                </pt>
                <pt idx="2">
                  <v>Andersson Beltre</v>
                </pt>
                <pt idx="3">
                  <v>Julio Angel Thomas GarcIa</v>
                </pt>
                <pt idx="4">
                  <v>Genaro Corporan B</v>
                </pt>
                <pt idx="5">
                  <v>Federico Arsenio Lachapel</v>
                </pt>
                <pt idx="6">
                  <v>Elvis Garibal Valdez Mejia</v>
                </pt>
                <pt idx="7">
                  <v>Jose Manuel Polanco Mercedes</v>
                </pt>
                <pt idx="8">
                  <v>Francisco Sanchez V</v>
                </pt>
                <pt idx="9">
                  <v>Gestor Documental</v>
                </pt>
              </strCache>
            </strRef>
          </cat>
          <val>
            <numRef>
              <f>Metricas!$I$64:$I$73</f>
              <numCache>
                <formatCode>General</formatCode>
                <ptCount val="10"/>
                <pt idx="0">
                  <v>23</v>
                </pt>
                <pt idx="1">
                  <v>26</v>
                </pt>
                <pt idx="2">
                  <v>5</v>
                </pt>
                <pt idx="3">
                  <v>42</v>
                </pt>
                <pt idx="4">
                  <v>3</v>
                </pt>
                <pt idx="5">
                  <v>56</v>
                </pt>
                <pt idx="6">
                  <v>52</v>
                </pt>
                <pt idx="7">
                  <v>17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axId val="59504135"/>
        <axId val="624628743"/>
      </barChart>
      <catAx>
        <axId val="5950413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24628743"/>
        <crosses val="autoZero"/>
        <auto val="1"/>
        <lblAlgn val="ctr"/>
        <lblOffset val="100"/>
        <noMultiLvlLbl val="0"/>
      </catAx>
      <valAx>
        <axId val="624628743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950413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Gestores a Tiempo vs Fuera de Tiempo - T1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Metricas!$J$63</f>
              <strCache>
                <ptCount val="1"/>
                <pt idx="0">
                  <v>A tiempo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Metricas!$H$64:$H$73</f>
              <strCache>
                <ptCount val="10"/>
                <pt idx="0">
                  <v>Kevin F Fernandez U</v>
                </pt>
                <pt idx="1">
                  <v>Moises Antonio Laureano Mateo</v>
                </pt>
                <pt idx="2">
                  <v>Andersson Beltre</v>
                </pt>
                <pt idx="3">
                  <v>Julio Angel Thomas GarcIa</v>
                </pt>
                <pt idx="4">
                  <v>Genaro Corporan B</v>
                </pt>
                <pt idx="5">
                  <v>Federico Arsenio Lachapel</v>
                </pt>
                <pt idx="6">
                  <v>Elvis Garibal Valdez Mejia</v>
                </pt>
                <pt idx="7">
                  <v>Jose Manuel Polanco Mercedes</v>
                </pt>
                <pt idx="8">
                  <v>Francisco Sanchez V</v>
                </pt>
                <pt idx="9">
                  <v>Gestor Documental</v>
                </pt>
              </strCache>
            </strRef>
          </cat>
          <val>
            <numRef>
              <f>Metricas!$J$64:$J$73</f>
              <numCache>
                <formatCode>General</formatCode>
                <ptCount val="10"/>
                <pt idx="0">
                  <v>20</v>
                </pt>
                <pt idx="1">
                  <v>26</v>
                </pt>
                <pt idx="2">
                  <v>5</v>
                </pt>
                <pt idx="3">
                  <v>36</v>
                </pt>
                <pt idx="4">
                  <v>3</v>
                </pt>
                <pt idx="5">
                  <v>52</v>
                </pt>
                <pt idx="6">
                  <v>49</v>
                </pt>
                <pt idx="7">
                  <v>16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Metricas!$K$63</f>
              <strCache>
                <ptCount val="1"/>
                <pt idx="0">
                  <v>Fuera de tiempo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Metricas!$H$64:$H$73</f>
              <strCache>
                <ptCount val="10"/>
                <pt idx="0">
                  <v>Kevin F Fernandez U</v>
                </pt>
                <pt idx="1">
                  <v>Moises Antonio Laureano Mateo</v>
                </pt>
                <pt idx="2">
                  <v>Andersson Beltre</v>
                </pt>
                <pt idx="3">
                  <v>Julio Angel Thomas GarcIa</v>
                </pt>
                <pt idx="4">
                  <v>Genaro Corporan B</v>
                </pt>
                <pt idx="5">
                  <v>Federico Arsenio Lachapel</v>
                </pt>
                <pt idx="6">
                  <v>Elvis Garibal Valdez Mejia</v>
                </pt>
                <pt idx="7">
                  <v>Jose Manuel Polanco Mercedes</v>
                </pt>
                <pt idx="8">
                  <v>Francisco Sanchez V</v>
                </pt>
                <pt idx="9">
                  <v>Gestor Documental</v>
                </pt>
              </strCache>
            </strRef>
          </cat>
          <val>
            <numRef>
              <f>Metricas!$K$64:$K$73</f>
              <numCache>
                <formatCode>General</formatCode>
                <ptCount val="10"/>
                <pt idx="0">
                  <v>3</v>
                </pt>
                <pt idx="1">
                  <v>0</v>
                </pt>
                <pt idx="2">
                  <v>0</v>
                </pt>
                <pt idx="3">
                  <v>6</v>
                </pt>
                <pt idx="4">
                  <v>0</v>
                </pt>
                <pt idx="5">
                  <v>4</v>
                </pt>
                <pt idx="6">
                  <v>3</v>
                </pt>
                <pt idx="7">
                  <v>1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40"/>
        <axId val="512331272"/>
        <axId val="512695304"/>
      </barChart>
      <catAx>
        <axId val="512331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695304"/>
        <crosses val="autoZero"/>
        <auto val="1"/>
        <lblAlgn val="ctr"/>
        <lblOffset val="100"/>
        <noMultiLvlLbl val="0"/>
      </catAx>
      <valAx>
        <axId val="5126953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3312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Copia Digital y Préstamo vs Prudencia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Metricas!$C$8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Metricas!$D$7:$E$7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Metricas!$D$8:$E$8</f>
              <numCache>
                <formatCode>General</formatCode>
                <ptCount val="2"/>
                <pt idx="0">
                  <v>699</v>
                </pt>
                <pt idx="1">
                  <v>110</v>
                </pt>
              </numCache>
            </numRef>
          </val>
        </ser>
        <ser>
          <idx val="1"/>
          <order val="1"/>
          <tx>
            <strRef>
              <f>Metricas!$C$9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rgbClr val="4EA72E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Metricas!$D$7:$E$7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Metricas!$D$9:$E$9</f>
              <numCache>
                <formatCode>General</formatCode>
                <ptCount val="2"/>
                <pt idx="0">
                  <v>86</v>
                </pt>
                <pt idx="1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68253192"/>
        <axId val="868259336"/>
      </barChart>
      <catAx>
        <axId val="86825319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68259336"/>
        <crosses val="autoZero"/>
        <auto val="1"/>
        <lblAlgn val="ctr"/>
        <lblOffset val="100"/>
        <noMultiLvlLbl val="0"/>
      </catAx>
      <valAx>
        <axId val="868259336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6825319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Copia Digital y Préstamo vs Tiempo de Respuesta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Metricas!$C$12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Metricas!$D$11:$E$11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Metricas!$D$12:$E$12</f>
              <numCache>
                <formatCode>General</formatCode>
                <ptCount val="2"/>
                <pt idx="0">
                  <v>739</v>
                </pt>
                <pt idx="1">
                  <v>70</v>
                </pt>
              </numCache>
            </numRef>
          </val>
        </ser>
        <ser>
          <idx val="1"/>
          <order val="1"/>
          <tx>
            <strRef>
              <f>Metricas!$C$13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Metricas!$D$11:$E$11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Metricas!$D$13:$E$13</f>
              <numCache>
                <formatCode>General</formatCode>
                <ptCount val="2"/>
                <pt idx="0">
                  <v>94</v>
                </pt>
                <pt idx="1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95977736"/>
        <axId val="395979784"/>
      </barChart>
      <catAx>
        <axId val="3959777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5979784"/>
        <crosses val="autoZero"/>
        <auto val="1"/>
        <lblAlgn val="ctr"/>
        <lblOffset val="100"/>
        <noMultiLvlLbl val="0"/>
      </catAx>
      <valAx>
        <axId val="39597978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5977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Copia Digital y Prestamo vs Prudencia - T1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Metricas!$C$69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Metricas!$D$68:$E$68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Metricas!$D$69:$E$69</f>
              <numCache>
                <formatCode>General</formatCode>
                <ptCount val="2"/>
                <pt idx="0">
                  <v>169</v>
                </pt>
                <pt idx="1">
                  <v>21</v>
                </pt>
              </numCache>
            </numRef>
          </val>
        </ser>
        <ser>
          <idx val="1"/>
          <order val="1"/>
          <tx>
            <strRef>
              <f>Metricas!$C$70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Metricas!$D$68:$E$68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Metricas!$D$70:$E$70</f>
              <numCache>
                <formatCode>General</formatCode>
                <ptCount val="2"/>
                <pt idx="0">
                  <v>26</v>
                </pt>
                <pt idx="1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59401991"/>
        <axId val="2028109831"/>
      </barChart>
      <catAx>
        <axId val="15940199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109831"/>
        <crosses val="autoZero"/>
        <auto val="1"/>
        <lblAlgn val="ctr"/>
        <lblOffset val="100"/>
        <noMultiLvlLbl val="0"/>
      </catAx>
      <valAx>
        <axId val="202810983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94019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Respuesta de Copia Digital vs Préstamo  - T1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Metricas!$C$73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Metricas!$D$72:$E$72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Metricas!$D$73:$E$73</f>
              <numCache>
                <formatCode>General</formatCode>
                <ptCount val="2"/>
                <pt idx="0">
                  <v>177</v>
                </pt>
                <pt idx="1">
                  <v>13</v>
                </pt>
              </numCache>
            </numRef>
          </val>
        </ser>
        <ser>
          <idx val="1"/>
          <order val="1"/>
          <tx>
            <strRef>
              <f>Metricas!$C$74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Metricas!$D$72:$E$72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Metricas!$D$74:$E$74</f>
              <numCache>
                <formatCode>General</formatCode>
                <ptCount val="2"/>
                <pt idx="0">
                  <v>30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87454471"/>
        <axId val="2028241927"/>
      </barChart>
      <catAx>
        <axId val="98745447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241927"/>
        <crosses val="autoZero"/>
        <auto val="1"/>
        <lblAlgn val="ctr"/>
        <lblOffset val="100"/>
        <noMultiLvlLbl val="0"/>
      </catAx>
      <valAx>
        <axId val="202824192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4544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T2 - Tiempo de Respuesta</a:t>
            </a:r>
          </a:p>
        </rich>
      </tx>
      <layout>
        <manualLayout>
          <xMode val="edge"/>
          <yMode val="edge"/>
          <wMode val="factor"/>
          <hMode val="factor"/>
          <x val="0.02742129456040218"/>
          <y val="0.02712523810777833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Metricas!$C$125:$D$125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Metricas!$C$126:$D$126</f>
              <numCache>
                <formatCode>General</formatCode>
                <ptCount val="2"/>
                <pt idx="0">
                  <v>335</v>
                </pt>
                <pt idx="1">
                  <v>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b"/>
      <layout>
        <manualLayout>
          <xMode val="edge"/>
          <yMode val="edge"/>
          <wMode val="factor"/>
          <hMode val="factor"/>
          <x val="0.02314571789637407"/>
          <y val="0.9013372659521238"/>
          <w val="0.4775180880167757"/>
          <h val="0.0752513628104179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T2 - Prudencia</a:t>
            </a:r>
          </a:p>
        </rich>
      </tx>
      <layout>
        <manualLayout>
          <xMode val="edge"/>
          <yMode val="edge"/>
          <wMode val="factor"/>
          <hMode val="factor"/>
          <x val="0.520674851882411"/>
          <y val="0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solidFill xmlns:a="http://schemas.openxmlformats.org/drawingml/2006/main">
              <a:srgbClr val="8ED973"/>
            </a:solidFill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A72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Metricas!$F$125:$G$125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Metricas!$F$126:$G$126</f>
              <numCache>
                <formatCode>General</formatCode>
                <ptCount val="2"/>
                <pt idx="0">
                  <v>300</v>
                </pt>
                <pt idx="1">
                  <v>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b"/>
      <layout>
        <manualLayout>
          <xMode val="edge"/>
          <yMode val="edge"/>
          <wMode val="factor"/>
          <hMode val="factor"/>
          <x val="0.1154364393641534"/>
          <y val="0.8815781185246581"/>
          <w val="0.865752550161999"/>
          <h val="0.0752513628104179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Atención de los Gestores T2 - 2026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Metricas!$I$124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Metricas!$H$125:$H$134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Metricas!$I$125:$I$134</f>
              <numCache>
                <formatCode>General</formatCode>
                <ptCount val="10"/>
                <pt idx="0">
                  <v>27</v>
                </pt>
                <pt idx="1">
                  <v>105</v>
                </pt>
                <pt idx="2">
                  <v>22</v>
                </pt>
                <pt idx="3">
                  <v>40</v>
                </pt>
                <pt idx="4">
                  <v>34</v>
                </pt>
                <pt idx="5">
                  <v>47</v>
                </pt>
                <pt idx="6">
                  <v>81</v>
                </pt>
                <pt idx="7">
                  <v>4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axId val="59504135"/>
        <axId val="624628743"/>
      </barChart>
      <catAx>
        <axId val="5950413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24628743"/>
        <crosses val="autoZero"/>
        <auto val="1"/>
        <lblAlgn val="ctr"/>
        <lblOffset val="100"/>
        <noMultiLvlLbl val="0"/>
      </catAx>
      <valAx>
        <axId val="624628743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950413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Gestores a Tiempo vs Fuera de Tiempo - T2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Metricas!$J$124</f>
              <strCache>
                <ptCount val="1"/>
                <pt idx="0">
                  <v>A tiempo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Metricas!$H$125:$H$134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Metricas!$J$125:$J$134</f>
              <numCache>
                <formatCode>General</formatCode>
                <ptCount val="10"/>
                <pt idx="0">
                  <v>27</v>
                </pt>
                <pt idx="1">
                  <v>102</v>
                </pt>
                <pt idx="2">
                  <v>19</v>
                </pt>
                <pt idx="3">
                  <v>37</v>
                </pt>
                <pt idx="4">
                  <v>25</v>
                </pt>
                <pt idx="5">
                  <v>44</v>
                </pt>
                <pt idx="6">
                  <v>76</v>
                </pt>
                <pt idx="7">
                  <v>4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Metricas!$K$124</f>
              <strCache>
                <ptCount val="1"/>
                <pt idx="0">
                  <v>Fuera de tiempo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Metricas!$H$125:$H$134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Metricas!$K$125:$K$134</f>
              <numCache>
                <formatCode>General</formatCode>
                <ptCount val="10"/>
                <pt idx="0">
                  <v>0</v>
                </pt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9</v>
                </pt>
                <pt idx="5">
                  <v>3</v>
                </pt>
                <pt idx="6">
                  <v>5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40"/>
        <axId val="512331272"/>
        <axId val="512695304"/>
      </barChart>
      <catAx>
        <axId val="512331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695304"/>
        <crosses val="autoZero"/>
        <auto val="1"/>
        <lblAlgn val="ctr"/>
        <lblOffset val="100"/>
        <noMultiLvlLbl val="0"/>
      </catAx>
      <valAx>
        <axId val="5126953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3312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Copia Digital y Prestamo vs Prudencia - T2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Metricas!$C$130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Metricas!$D$129:$E$129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Metricas!$D$130:$E$130</f>
              <numCache>
                <formatCode>General</formatCode>
                <ptCount val="2"/>
                <pt idx="0">
                  <v>262</v>
                </pt>
                <pt idx="1">
                  <v>55</v>
                </pt>
              </numCache>
            </numRef>
          </val>
        </ser>
        <ser>
          <idx val="1"/>
          <order val="1"/>
          <tx>
            <strRef>
              <f>Metricas!$C$131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Metricas!$D$129:$E$129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Metricas!$D$131:$E$131</f>
              <numCache>
                <formatCode>General</formatCode>
                <ptCount val="2"/>
                <pt idx="0">
                  <v>38</v>
                </pt>
                <pt idx="1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59401991"/>
        <axId val="2028109831"/>
      </barChart>
      <catAx>
        <axId val="15940199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109831"/>
        <crosses val="autoZero"/>
        <auto val="1"/>
        <lblAlgn val="ctr"/>
        <lblOffset val="100"/>
        <noMultiLvlLbl val="0"/>
      </catAx>
      <valAx>
        <axId val="202810983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94019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Respuesta de Copia Digital vs Préstamo  - T2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Metricas!$C$134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Metricas!$D$133:$E$133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Metricas!$D$134:$E$134</f>
              <numCache>
                <formatCode>General</formatCode>
                <ptCount val="2"/>
                <pt idx="0">
                  <v>293</v>
                </pt>
                <pt idx="1">
                  <v>24</v>
                </pt>
              </numCache>
            </numRef>
          </val>
        </ser>
        <ser>
          <idx val="1"/>
          <order val="1"/>
          <tx>
            <strRef>
              <f>Metricas!$C$135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Metricas!$D$133:$E$133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Metricas!$D$135:$E$135</f>
              <numCache>
                <formatCode>General</formatCode>
                <ptCount val="2"/>
                <pt idx="0">
                  <v>42</v>
                </pt>
                <pt idx="1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87454471"/>
        <axId val="2028241927"/>
      </barChart>
      <catAx>
        <axId val="98745447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241927"/>
        <crosses val="autoZero"/>
        <auto val="1"/>
        <lblAlgn val="ctr"/>
        <lblOffset val="100"/>
        <noMultiLvlLbl val="0"/>
      </catAx>
      <valAx>
        <axId val="202824192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4544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T3 - Tiempo de Respuesta</a:t>
            </a:r>
          </a:p>
        </rich>
      </tx>
      <layout>
        <manualLayout>
          <xMode val="edge"/>
          <yMode val="edge"/>
          <wMode val="factor"/>
          <hMode val="factor"/>
          <x val="0.02742129456040218"/>
          <y val="0.02712523810777833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Metricas!$C$186:$D$186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Metricas!$C$187:$D$187</f>
              <numCache>
                <formatCode>General</formatCode>
                <ptCount val="2"/>
                <pt idx="0">
                  <v>240</v>
                </pt>
                <pt idx="1">
                  <v>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b"/>
      <layout>
        <manualLayout>
          <xMode val="edge"/>
          <yMode val="edge"/>
          <wMode val="factor"/>
          <hMode val="factor"/>
          <x val="0.02314571789637407"/>
          <y val="0.9013372659521238"/>
          <w val="0.4775180880167757"/>
          <h val="0.0752513628104179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T3 - Prudencia</a:t>
            </a:r>
          </a:p>
        </rich>
      </tx>
      <layout>
        <manualLayout>
          <xMode val="edge"/>
          <yMode val="edge"/>
          <wMode val="factor"/>
          <hMode val="factor"/>
          <x val="0.520674851882411"/>
          <y val="0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Metricas!$F$186:$G$186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Metricas!$F$187:$G$187</f>
              <numCache>
                <formatCode>General</formatCode>
                <ptCount val="2"/>
                <pt idx="0">
                  <v>231</v>
                </pt>
                <pt idx="1">
                  <v>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b"/>
      <layout>
        <manualLayout>
          <xMode val="edge"/>
          <yMode val="edge"/>
          <wMode val="factor"/>
          <hMode val="factor"/>
          <x val="0.1154364393641534"/>
          <y val="0.8815781185246581"/>
          <w val="0.865752550161999"/>
          <h val="0.0752513628104179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Atención de los Gestores T3 - 2026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Metricas!$I$185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Metricas!$H$186:$H$195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Metricas!$I$186:$I$195</f>
              <numCache>
                <formatCode>General</formatCode>
                <ptCount val="10"/>
                <pt idx="0">
                  <v>2</v>
                </pt>
                <pt idx="1">
                  <v>42</v>
                </pt>
                <pt idx="2">
                  <v>1</v>
                </pt>
                <pt idx="3">
                  <v>46</v>
                </pt>
                <pt idx="4">
                  <v>1</v>
                </pt>
                <pt idx="5">
                  <v>67</v>
                </pt>
                <pt idx="6">
                  <v>95</v>
                </pt>
                <pt idx="7">
                  <v>0</v>
                </pt>
                <pt idx="8">
                  <v>0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axId val="59504135"/>
        <axId val="624628743"/>
      </barChart>
      <catAx>
        <axId val="5950413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24628743"/>
        <crosses val="autoZero"/>
        <auto val="1"/>
        <lblAlgn val="ctr"/>
        <lblOffset val="100"/>
        <noMultiLvlLbl val="0"/>
      </catAx>
      <valAx>
        <axId val="624628743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950413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Gestores a Tiempo vs Fuera de Tiempo - T3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Metricas!$J$185</f>
              <strCache>
                <ptCount val="1"/>
                <pt idx="0">
                  <v>A tiempo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Metricas!$H$186:$H$195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Metricas!$J$186:$J$195</f>
              <numCache>
                <formatCode>General</formatCode>
                <ptCount val="10"/>
                <pt idx="0">
                  <v>2</v>
                </pt>
                <pt idx="1">
                  <v>40</v>
                </pt>
                <pt idx="2">
                  <v>1</v>
                </pt>
                <pt idx="3">
                  <v>45</v>
                </pt>
                <pt idx="4">
                  <v>1</v>
                </pt>
                <pt idx="5">
                  <v>54</v>
                </pt>
                <pt idx="6">
                  <v>93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Metricas!$K$185</f>
              <strCache>
                <ptCount val="1"/>
                <pt idx="0">
                  <v>Fuera de tiempo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Metricas!$H$186:$H$195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Metricas!$K$186:$K$195</f>
              <numCache>
                <formatCode>General</formatCode>
                <ptCount val="10"/>
                <pt idx="0">
                  <v>0</v>
                </pt>
                <pt idx="1">
                  <v>2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13</v>
                </pt>
                <pt idx="6">
                  <v>2</v>
                </pt>
                <pt idx="7">
                  <v>0</v>
                </pt>
                <pt idx="8">
                  <v>0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40"/>
        <axId val="512331272"/>
        <axId val="512695304"/>
      </barChart>
      <catAx>
        <axId val="512331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695304"/>
        <crosses val="autoZero"/>
        <auto val="1"/>
        <lblAlgn val="ctr"/>
        <lblOffset val="100"/>
        <noMultiLvlLbl val="0"/>
      </catAx>
      <valAx>
        <axId val="5126953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3312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Copia Digital y Prestamo vs Prudencia - T3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Metricas!$C$191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Metricas!$D$190:$E$190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Metricas!$D$191:$E$191</f>
              <numCache>
                <formatCode>General</formatCode>
                <ptCount val="2"/>
                <pt idx="0">
                  <v>215</v>
                </pt>
                <pt idx="1">
                  <v>24</v>
                </pt>
              </numCache>
            </numRef>
          </val>
        </ser>
        <ser>
          <idx val="1"/>
          <order val="1"/>
          <tx>
            <strRef>
              <f>Metricas!$C$192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Metricas!$D$190:$E$190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Metricas!$D$192:$E$192</f>
              <numCache>
                <formatCode>General</formatCode>
                <ptCount val="2"/>
                <pt idx="0">
                  <v>16</v>
                </pt>
                <pt idx="1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59401991"/>
        <axId val="2028109831"/>
      </barChart>
      <catAx>
        <axId val="15940199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109831"/>
        <crosses val="autoZero"/>
        <auto val="1"/>
        <lblAlgn val="ctr"/>
        <lblOffset val="100"/>
        <noMultiLvlLbl val="0"/>
      </catAx>
      <valAx>
        <axId val="202810983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94019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Respuesta de Copia Digital vs Préstamo  - T3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Metricas!$C$195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Metricas!$D$194:$E$194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Metricas!$D$195:$E$195</f>
              <numCache>
                <formatCode>General</formatCode>
                <ptCount val="2"/>
                <pt idx="0">
                  <v>222</v>
                </pt>
                <pt idx="1">
                  <v>17</v>
                </pt>
              </numCache>
            </numRef>
          </val>
        </ser>
        <ser>
          <idx val="1"/>
          <order val="1"/>
          <tx>
            <strRef>
              <f>Metricas!$C$196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Metricas!$D$194:$E$194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Metricas!$D$196:$E$196</f>
              <numCache>
                <formatCode>General</formatCode>
                <ptCount val="2"/>
                <pt idx="0">
                  <v>16</v>
                </pt>
                <pt idx="1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87454471"/>
        <axId val="2028241927"/>
      </barChart>
      <catAx>
        <axId val="98745447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241927"/>
        <crosses val="autoZero"/>
        <auto val="1"/>
        <lblAlgn val="ctr"/>
        <lblOffset val="100"/>
        <noMultiLvlLbl val="0"/>
      </catAx>
      <valAx>
        <axId val="202824192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4544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T4 - Tiempo de Respuesta</a:t>
            </a:r>
          </a:p>
        </rich>
      </tx>
      <layout>
        <manualLayout>
          <xMode val="edge"/>
          <yMode val="edge"/>
          <wMode val="factor"/>
          <hMode val="factor"/>
          <x val="0.02742129456040218"/>
          <y val="0.02712523810777833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Metricas!$C$247:$D$247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Metricas!$C$248:$D$248</f>
              <numCache>
                <formatCode>General</formatCode>
                <ptCount val="2"/>
                <pt idx="0">
                  <v>53</v>
                </pt>
                <pt idx="1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02314571789637407"/>
          <y val="0.9013372659521238"/>
          <w val="0.4775180880167757"/>
          <h val="0.075251362810417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T4 - Prudencia</a:t>
            </a:r>
          </a:p>
        </rich>
      </tx>
      <layout>
        <manualLayout>
          <xMode val="edge"/>
          <yMode val="edge"/>
          <wMode val="factor"/>
          <hMode val="factor"/>
          <x val="0.003784398745028725"/>
          <y val="0.003716090672612707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Metricas!$F$247:$G$247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Metricas!$F$248:$G$248</f>
              <numCache>
                <formatCode>General</formatCode>
                <ptCount val="2"/>
                <pt idx="0">
                  <v>59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1154364393641534"/>
          <y val="0.8815781185246581"/>
          <w val="0.5204517617116043"/>
          <h val="0.118422042738219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Atención de los Gestores T4 - 2026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Metricas!$I$246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Metricas!$H$247:$H$256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Metricas!$I$247:$I$256</f>
              <numCache>
                <formatCode>General</formatCode>
                <ptCount val="10"/>
                <pt idx="0">
                  <v>0</v>
                </pt>
                <pt idx="1">
                  <v>15</v>
                </pt>
                <pt idx="2">
                  <v>0</v>
                </pt>
                <pt idx="3">
                  <v>32</v>
                </pt>
                <pt idx="4">
                  <v>0</v>
                </pt>
                <pt idx="5">
                  <v>10</v>
                </pt>
                <pt idx="6">
                  <v>12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axId val="59504135"/>
        <axId val="624628743"/>
      </barChart>
      <catAx>
        <axId val="5950413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24628743"/>
        <crosses val="autoZero"/>
        <auto val="1"/>
        <lblAlgn val="ctr"/>
        <lblOffset val="100"/>
        <noMultiLvlLbl val="0"/>
      </catAx>
      <valAx>
        <axId val="624628743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950413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Gestores a Tiempo vs Fuera de Tiempo - T4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Metricas!$J$246</f>
              <strCache>
                <ptCount val="1"/>
                <pt idx="0">
                  <v>A tiempo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Metricas!$H$247:$H$256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Metricas!$J$247:$J$256</f>
              <numCache>
                <formatCode>General</formatCode>
                <ptCount val="10"/>
                <pt idx="0">
                  <v>0</v>
                </pt>
                <pt idx="1">
                  <v>13</v>
                </pt>
                <pt idx="2">
                  <v>0</v>
                </pt>
                <pt idx="3">
                  <v>24</v>
                </pt>
                <pt idx="4">
                  <v>0</v>
                </pt>
                <pt idx="5">
                  <v>5</v>
                </pt>
                <pt idx="6">
                  <v>11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Metricas!$K$246</f>
              <strCache>
                <ptCount val="1"/>
                <pt idx="0">
                  <v>Fuera de tiempo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Metricas!$H$247:$H$256</f>
              <strCache>
                <ptCount val="10"/>
                <pt idx="0">
                  <v>Andersson Beltre</v>
                </pt>
                <pt idx="1">
                  <v>Federico Arsenio Lachapel</v>
                </pt>
                <pt idx="2">
                  <v>Julio Angel Thomas GarcIa</v>
                </pt>
                <pt idx="3">
                  <v>Jose Manuel Polanco Mercedes</v>
                </pt>
                <pt idx="4">
                  <v>Moises Antonio Laureano Mateo</v>
                </pt>
                <pt idx="5">
                  <v>Elvis Garibal Valdez Mejia</v>
                </pt>
                <pt idx="6">
                  <v>Jose Arturo Guzman Coste</v>
                </pt>
                <pt idx="7">
                  <v>Julio Adolfo Merino Feliciano</v>
                </pt>
                <pt idx="8">
                  <v>Genaro Corporan B</v>
                </pt>
                <pt idx="9">
                  <v>Gestor Documental</v>
                </pt>
              </strCache>
            </strRef>
          </cat>
          <val>
            <numRef>
              <f>Metricas!$K$247:$K$256</f>
              <numCache>
                <formatCode>General</formatCode>
                <ptCount val="10"/>
                <pt idx="0">
                  <v>0</v>
                </pt>
                <pt idx="1">
                  <v>2</v>
                </pt>
                <pt idx="2">
                  <v>0</v>
                </pt>
                <pt idx="3">
                  <v>8</v>
                </pt>
                <pt idx="4">
                  <v>0</v>
                </pt>
                <pt idx="5">
                  <v>5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40"/>
        <axId val="512331272"/>
        <axId val="512695304"/>
      </barChart>
      <catAx>
        <axId val="512331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695304"/>
        <crosses val="autoZero"/>
        <auto val="1"/>
        <lblAlgn val="ctr"/>
        <lblOffset val="100"/>
        <noMultiLvlLbl val="0"/>
      </catAx>
      <valAx>
        <axId val="5126953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23312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Copia Digital y Prestamo vs Prudencia - T4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Metricas!$C$252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Metricas!$D$251:$E$251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Metricas!$D$252:$E$252</f>
              <numCache>
                <formatCode>General</formatCode>
                <ptCount val="2"/>
                <pt idx="0">
                  <v>53</v>
                </pt>
                <pt idx="1">
                  <v>10</v>
                </pt>
              </numCache>
            </numRef>
          </val>
        </ser>
        <ser>
          <idx val="1"/>
          <order val="1"/>
          <tx>
            <strRef>
              <f>Metricas!$C$253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Metricas!$D$251:$E$251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Metricas!$D$253:$E$253</f>
              <numCache>
                <formatCode>General</formatCode>
                <ptCount val="2"/>
                <pt idx="0">
                  <v>6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59401991"/>
        <axId val="2028109831"/>
      </barChart>
      <catAx>
        <axId val="15940199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109831"/>
        <crosses val="autoZero"/>
        <auto val="1"/>
        <lblAlgn val="ctr"/>
        <lblOffset val="100"/>
        <noMultiLvlLbl val="0"/>
      </catAx>
      <valAx>
        <axId val="202810983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94019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Respuesta de Copia Digital vs Préstamo  - T4 2026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Metricas!$C$256</f>
              <strCache>
                <ptCount val="1"/>
                <pt idx="0">
                  <v>Copia Digital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Metricas!$D$255:$E$255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Metricas!$D$256:$E$256</f>
              <numCache>
                <formatCode>General</formatCode>
                <ptCount val="2"/>
                <pt idx="0">
                  <v>47</v>
                </pt>
                <pt idx="1">
                  <v>16</v>
                </pt>
              </numCache>
            </numRef>
          </val>
        </ser>
        <ser>
          <idx val="1"/>
          <order val="1"/>
          <tx>
            <strRef>
              <f>Metricas!$C$257</f>
              <strCache>
                <ptCount val="1"/>
                <pt idx="0">
                  <v>Prestamo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Metricas!$D$255:$E$255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Metricas!$D$257:$E$257</f>
              <numCache>
                <formatCode>General</formatCode>
                <ptCount val="2"/>
                <pt idx="0">
                  <v>6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87454471"/>
        <axId val="2028241927"/>
      </barChart>
      <catAx>
        <axId val="98745447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8241927"/>
        <crosses val="autoZero"/>
        <auto val="1"/>
        <lblAlgn val="ctr"/>
        <lblOffset val="100"/>
        <noMultiLvlLbl val="0"/>
      </catAx>
      <valAx>
        <axId val="202824192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4544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Comportamiento de las respuestas en 1 hora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4EA72E"/>
            </a:solidFill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A72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ADADAD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2025'!$C$2:$D$2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'Metricas 2025'!$C$3:$D$3</f>
              <numCache>
                <formatCode>General</formatCode>
                <ptCount val="2"/>
                <pt idx="0">
                  <v>630</v>
                </pt>
                <pt idx="1">
                  <v>281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Prudencia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3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4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5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6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7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8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9"/>
        <spPr>
          <a:solidFill xmlns:a="http://schemas.openxmlformats.org/drawingml/2006/main">
            <a:srgbClr val="ED733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0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1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1"/>
          <showSerName val="0"/>
          <showPercent val="1"/>
          <showBubbleSize val="0"/>
        </dLbl>
      </pivotFmt>
      <pivotFmt>
        <idx val="12"/>
        <spPr>
          <a:solidFill xmlns:a="http://schemas.openxmlformats.org/drawingml/2006/main">
            <a:srgbClr val="4EA72E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3"/>
        <spPr>
          <a:solidFill xmlns:a="http://schemas.openxmlformats.org/drawingml/2006/main">
            <a:srgbClr val="D2D2D2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</pivotFmts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A72E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ADADAD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Ref>
              <f>'Metricas 2025'!$F$2:$G$2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'Metricas 2025'!$F$3:$G$3</f>
              <numCache>
                <formatCode>General</formatCode>
                <ptCount val="2"/>
                <pt idx="0">
                  <v>785</v>
                </pt>
                <pt idx="1">
                  <v>126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43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1200" b="0" i="0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Copia Digital y Prestamos vs Prudencia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rgbClr val="4EA72E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rgbClr val="ADADAD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v>Dentro del horario</v>
          </tx>
          <spPr>
            <a:solidFill xmlns:a="http://schemas.openxmlformats.org/drawingml/2006/main">
              <a:srgbClr val="4EA72E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Lit>
              <ptCount val="2"/>
              <pt idx="0">
                <v>Copia Digital</v>
              </pt>
              <pt idx="1">
                <v>Prestamo</v>
              </pt>
            </strLit>
          </cat>
          <val>
            <numLit>
              <formatCode>General</formatCode>
              <ptCount val="2"/>
              <pt idx="0">
                <v>302</v>
              </pt>
              <pt idx="1">
                <v>40</v>
              </pt>
            </numLit>
          </val>
        </ser>
        <ser>
          <idx val="1"/>
          <order val="1"/>
          <tx>
            <v>Fuera de horario</v>
          </tx>
          <spPr>
            <a:solidFill xmlns:a="http://schemas.openxmlformats.org/drawingml/2006/main">
              <a:srgbClr val="ADADAD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Lit>
              <ptCount val="2"/>
              <pt idx="0">
                <v>Copia Digital</v>
              </pt>
              <pt idx="1">
                <v>Prestamo</v>
              </pt>
            </strLit>
          </cat>
          <val>
            <numLit>
              <formatCode>General</formatCode>
              <ptCount val="2"/>
              <pt idx="0">
                <v>52</v>
              </pt>
              <pt idx="1">
                <v>4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40"/>
        <overlap val="-30"/>
        <axId val="1399514119"/>
        <axId val="1011896839"/>
      </barChart>
      <catAx>
        <axId val="1399514119"/>
        <scaling>
          <orientation val="maxMin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Solicitud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11896839"/>
        <crosses val="autoZero"/>
        <auto val="1"/>
        <lblAlgn val="ctr"/>
        <lblOffset val="100"/>
        <noMultiLvlLbl val="0"/>
      </catAx>
      <valAx>
        <axId val="101189683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Solicitud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99514119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Atención de los Gestores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rgbClr val="D2D2D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ED733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rgbClr val="D2D2D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rgbClr val="ED7331"/>
          </a:solidFill>
          <a:ln xmlns:a="http://schemas.openxmlformats.org/drawingml/2006/main">
            <a:noFill/>
            <a:prstDash val="solid"/>
          </a:ln>
        </spPr>
      </pivotFmt>
      <pivotFmt>
        <idx val="4"/>
        <spPr>
          <a:solidFill xmlns:a="http://schemas.openxmlformats.org/drawingml/2006/main">
            <a:srgbClr val="D2D2D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rgbClr val="ED7331"/>
          </a:solidFill>
          <a:ln xmlns:a="http://schemas.openxmlformats.org/drawingml/2006/main">
            <a:noFill/>
            <a:prstDash val="solid"/>
          </a:ln>
        </spPr>
      </pivotFmt>
      <pivotFmt>
        <idx val="6"/>
        <spPr>
          <a:solidFill xmlns:a="http://schemas.openxmlformats.org/drawingml/2006/main">
            <a:srgbClr val="D2D2D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rgbClr val="ED7331"/>
          </a:solidFill>
          <a:ln xmlns:a="http://schemas.openxmlformats.org/drawingml/2006/main">
            <a:noFill/>
            <a:prstDash val="solid"/>
          </a:ln>
        </spPr>
      </pivotFmt>
      <pivotFmt>
        <idx val="8"/>
        <spPr>
          <a:solidFill xmlns:a="http://schemas.openxmlformats.org/drawingml/2006/main">
            <a:srgbClr val="4EA72E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rgbClr val="4EA72E"/>
          </a:solidFill>
          <a:ln xmlns:a="http://schemas.openxmlformats.org/drawingml/2006/main">
            <a:noFill/>
            <a:prstDash val="solid"/>
          </a:ln>
        </spPr>
      </pivotFmt>
    </pivotFmts>
    <plotArea>
      <layout/>
      <barChart>
        <barDir val="bar"/>
        <grouping val="clustered"/>
        <varyColors val="0"/>
        <ser>
          <idx val="0"/>
          <order val="0"/>
          <tx>
            <v>Total</v>
          </tx>
          <spPr>
            <a:solidFill xmlns:a="http://schemas.openxmlformats.org/drawingml/2006/main">
              <a:srgbClr val="4EA72E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8"/>
              <pt idx="0">
                <v>Kevin F Fernandez U</v>
              </pt>
              <pt idx="1">
                <v>Julio A Thomas G</v>
              </pt>
              <pt idx="2">
                <v>Moises A Laureano M</v>
              </pt>
              <pt idx="3">
                <v>Andersson Beltre</v>
              </pt>
              <pt idx="4">
                <v>Elvis G Valdez M</v>
              </pt>
              <pt idx="5">
                <v>Genaro Corporan B</v>
              </pt>
              <pt idx="6">
                <v>Francisco Sanchez V</v>
              </pt>
              <pt idx="7">
                <v>Julio Adolfo Merino Feliciano</v>
              </pt>
            </strLit>
          </cat>
          <val>
            <numLit>
              <formatCode>General</formatCode>
              <ptCount val="8"/>
              <pt idx="0">
                <v>130</v>
              </pt>
              <pt idx="1">
                <v>109</v>
              </pt>
              <pt idx="2">
                <v>98</v>
              </pt>
              <pt idx="3">
                <v>42</v>
              </pt>
              <pt idx="4">
                <v>15</v>
              </pt>
              <pt idx="5">
                <v>2</v>
              </pt>
              <pt idx="6">
                <v>1</v>
              </pt>
              <pt idx="7">
                <v>1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3"/>
        <overlap val="-30"/>
        <axId val="1664299016"/>
        <axId val="1664301064"/>
      </barChart>
      <catAx>
        <axId val="1664299016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64301064"/>
        <crosses val="autoZero"/>
        <auto val="1"/>
        <lblAlgn val="ctr"/>
        <lblOffset val="100"/>
        <noMultiLvlLbl val="0"/>
      </catAx>
      <valAx>
        <axId val="166430106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Solicitud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64299016"/>
        <crosses val="max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T1 - Tiempo de Respuesta</a:t>
            </a:r>
          </a:p>
        </rich>
      </tx>
      <layout>
        <manualLayout>
          <xMode val="edge"/>
          <yMode val="edge"/>
          <wMode val="factor"/>
          <hMode val="factor"/>
          <x val="0.1782150194429048"/>
          <y val="0.03381425845862895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T1 - Respuestas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2025'!$C$64:$D$64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'Metricas 2025'!$C$65:$D$65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T1 - Prudencia</a:t>
            </a:r>
          </a:p>
        </rich>
      </tx>
      <layout>
        <manualLayout>
          <xMode val="edge"/>
          <yMode val="edge"/>
          <wMode val="factor"/>
          <hMode val="factor"/>
          <x val="0.520674851882411"/>
          <y val="0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2025'!$F$64:$G$64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'Metricas 2025'!$F$65:$G$65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1154364393641534"/>
          <y val="0.8815781185246581"/>
          <w val="0.5204517617116043"/>
          <h val="0.118422042738219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T2 - Tiempo de Respuesta</a:t>
            </a:r>
          </a:p>
        </rich>
      </tx>
      <layout>
        <manualLayout>
          <xMode val="edge"/>
          <yMode val="edge"/>
          <wMode val="factor"/>
          <hMode val="factor"/>
          <x val="0.006393684429664812"/>
          <y val="0.01657199859619141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92D050"/>
            </a:solidFill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2025'!$C$88:$D$88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'Metricas 2025'!$C$89:$D$89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T2 - Prudencia</a:t>
            </a:r>
          </a:p>
        </rich>
      </tx>
      <layout>
        <manualLayout>
          <xMode val="edge"/>
          <yMode val="edge"/>
          <wMode val="factor"/>
          <hMode val="factor"/>
          <x val="0.5853355368398826"/>
          <y val="0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2025'!$F$88:$G$88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'Metricas 2025'!$F$89:$G$89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1154364393641534"/>
          <y val="0.8815781185246581"/>
          <w val="0.5204517617116043"/>
          <h val="0.118421682645317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T3 - Tiempo de Respuesta</a:t>
            </a:r>
          </a:p>
        </rich>
      </tx>
      <layout>
        <manualLayout>
          <xMode val="edge"/>
          <yMode val="edge"/>
          <wMode val="factor"/>
          <hMode val="factor"/>
          <x val="0"/>
          <y val="0.002840889824761285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solidFill>
                <a:srgbClr val="0070C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w="25400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2025'!$C$114:$D$114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'Metricas 2025'!$C$115:$D$115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T3 - Prudencia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2025'!$F$114:$G$114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'Metricas 2025'!$F$115:$G$115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'Metricas 2025'!$K$5</f>
              <strCache>
                <ptCount val="1"/>
                <pt idx="0">
                  <v>Fuera de tiempo</v>
                </pt>
              </strCache>
            </strRef>
          </tx>
          <spPr>
            <a:solidFill xmlns:a="http://schemas.openxmlformats.org/drawingml/2006/main">
              <a:srgbClr val="4EA72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1" i="0" strike="noStrike" kern="1200" baseline="0">
                    <a:solidFill>
                      <a:srgbClr val="74747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'Metricas 2025'!$I$6:$I$6</f>
              <numCache>
                <formatCode>General</formatCode>
                <ptCount val="1"/>
                <pt idx="0">
                  <v>0</v>
                </pt>
              </numCache>
            </numRef>
          </cat>
          <val>
            <numRef>
              <f>'Metricas 2025'!$K$6:$K$6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strRef>
              <f>'Metricas 2025'!$L$5</f>
              <strCache>
                <ptCount val="1"/>
                <pt idx="0">
                  <v>Promedio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1" i="0" strike="noStrike" kern="1200" baseline="0">
                    <a:solidFill>
                      <a:srgbClr val="74747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'Metricas 2025'!$I$6:$I$6</f>
              <numCache>
                <formatCode>General</formatCode>
                <ptCount val="1"/>
                <pt idx="0">
                  <v>0</v>
                </pt>
              </numCache>
            </numRef>
          </cat>
          <val>
            <numRef>
              <f>'Metricas 2025'!$L$6:$L$6</f>
              <numCache>
                <formatCode>h:mm:ss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67319560"/>
        <axId val="1153136648"/>
      </barChart>
      <catAx>
        <axId val="56731956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53136648"/>
        <crosses val="autoZero"/>
        <auto val="1"/>
        <lblAlgn val="ctr"/>
        <lblOffset val="100"/>
        <noMultiLvlLbl val="0"/>
      </catAx>
      <valAx>
        <axId val="115313664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673195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T4 - Tiempo de Respuesta</a:t>
            </a:r>
          </a:p>
        </rich>
      </tx>
      <layout>
        <manualLayout>
          <xMode val="edge"/>
          <yMode val="edge"/>
          <wMode val="factor"/>
          <hMode val="factor"/>
          <x val="0"/>
          <y val="0.002840889824761285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solidFill>
                <a:srgbClr val="0070C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3C7D22"/>
              </a:solidFill>
              <a:ln xmlns:a="http://schemas.openxmlformats.org/drawingml/2006/main" w="25400">
                <a:noFill/>
                <a:prstDash val="solid"/>
              </a:ln>
            </spPr>
          </dPt>
          <dLbls>
            <dLbl>
              <idx val="1"/>
              <dLblPos val="bestFit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2025'!C141:D141</f>
              <strCache>
                <ptCount val="2"/>
                <pt idx="0">
                  <v>A tiempo</v>
                </pt>
                <pt idx="1">
                  <v>Fuera de tiempo</v>
                </pt>
              </strCache>
            </strRef>
          </cat>
          <val>
            <numRef>
              <f>'Metricas 2025'!C142:D142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T4 - Prudencia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0"/>
          </dLbls>
          <cat>
            <strRef>
              <f>'Metricas 2025'!F141:G141</f>
              <strCache>
                <ptCount val="2"/>
                <pt idx="0">
                  <v>Dentro del horario</v>
                </pt>
                <pt idx="1">
                  <v>Fuera de horario</v>
                </pt>
              </strCache>
            </strRef>
          </cat>
          <val>
            <numRef>
              <f>'Metricas 2025'!F142:G142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Relationship Type="http://schemas.openxmlformats.org/officeDocument/2006/relationships/chart" Target="/xl/charts/chart34.xml" Id="rId4"/><Relationship Type="http://schemas.openxmlformats.org/officeDocument/2006/relationships/chart" Target="/xl/charts/chart35.xml" Id="rId5"/><Relationship Type="http://schemas.openxmlformats.org/officeDocument/2006/relationships/chart" Target="/xl/charts/chart36.xml" Id="rId6"/><Relationship Type="http://schemas.openxmlformats.org/officeDocument/2006/relationships/chart" Target="/xl/charts/chart37.xml" Id="rId7"/><Relationship Type="http://schemas.openxmlformats.org/officeDocument/2006/relationships/chart" Target="/xl/charts/chart38.xml" Id="rId8"/><Relationship Type="http://schemas.openxmlformats.org/officeDocument/2006/relationships/chart" Target="/xl/charts/chart39.xml" Id="rId9"/><Relationship Type="http://schemas.openxmlformats.org/officeDocument/2006/relationships/chart" Target="/xl/charts/chart40.xml" Id="rId10"/><Relationship Type="http://schemas.openxmlformats.org/officeDocument/2006/relationships/chart" Target="/xl/charts/chart41.xml" Id="rId11"/><Relationship Type="http://schemas.openxmlformats.org/officeDocument/2006/relationships/chart" Target="/xl/charts/chart42.xml" Id="rId12"/><Relationship Type="http://schemas.openxmlformats.org/officeDocument/2006/relationships/chart" Target="/xl/charts/chart43.xml" Id="rId13"/></Relationships>
</file>

<file path=xl/drawings/drawing1.xml><?xml version="1.0" encoding="utf-8"?>
<wsDr xmlns="http://schemas.openxmlformats.org/drawingml/2006/spreadsheetDrawing">
  <twoCellAnchor>
    <from>
      <col>1</col>
      <colOff>571500</colOff>
      <row>14</row>
      <rowOff>0</rowOff>
    </from>
    <to>
      <col>4</col>
      <colOff>504825</colOff>
      <row>29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514350</colOff>
      <row>14</row>
      <rowOff>0</rowOff>
    </from>
    <to>
      <col>6</col>
      <colOff>1476375</colOff>
      <row>29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</col>
      <colOff>0</colOff>
      <row>74</row>
      <rowOff>180975</rowOff>
    </from>
    <to>
      <col>4</col>
      <colOff>762000</colOff>
      <row>89</row>
      <rowOff>171450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</col>
      <colOff>771525</colOff>
      <row>74</row>
      <rowOff>180975</rowOff>
    </from>
    <to>
      <col>6</col>
      <colOff>1485900</colOff>
      <row>89</row>
      <rowOff>171450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6</col>
      <colOff>1485900</colOff>
      <row>35</row>
      <rowOff>180975</rowOff>
    </from>
    <to>
      <col>11</col>
      <colOff>1171575</colOff>
      <row>59</row>
      <rowOff>171450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6</col>
      <colOff>1476375</colOff>
      <row>12</row>
      <rowOff>180975</rowOff>
    </from>
    <to>
      <col>11</col>
      <colOff>1171575</colOff>
      <row>35</row>
      <rowOff>180975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6</col>
      <colOff>1485900</colOff>
      <row>96</row>
      <rowOff>180975</rowOff>
    </from>
    <to>
      <col>11</col>
      <colOff>1162050</colOff>
      <row>120</row>
      <rowOff>171450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6</col>
      <colOff>1476375</colOff>
      <row>72</row>
      <rowOff>180975</rowOff>
    </from>
    <to>
      <col>11</col>
      <colOff>1171575</colOff>
      <row>97</row>
      <rowOff>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0</colOff>
      <row>29</row>
      <rowOff>28575</rowOff>
    </from>
    <to>
      <col>6</col>
      <colOff>1476375</colOff>
      <row>45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1</col>
      <colOff>571500</colOff>
      <row>45</row>
      <rowOff>180975</rowOff>
    </from>
    <to>
      <col>6</col>
      <colOff>1476375</colOff>
      <row>59</row>
      <rowOff>171450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0</colOff>
      <row>89</row>
      <rowOff>171450</rowOff>
    </from>
    <to>
      <col>6</col>
      <colOff>1476375</colOff>
      <row>107</row>
      <rowOff>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2</col>
      <colOff>0</colOff>
      <row>107</row>
      <rowOff>9525</rowOff>
    </from>
    <to>
      <col>6</col>
      <colOff>1485900</colOff>
      <row>120</row>
      <rowOff>171450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2</col>
      <colOff>9525</colOff>
      <row>135</row>
      <rowOff>171450</rowOff>
    </from>
    <to>
      <col>4</col>
      <colOff>771525</colOff>
      <row>150</row>
      <rowOff>161925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4</col>
      <colOff>762000</colOff>
      <row>135</row>
      <rowOff>171450</rowOff>
    </from>
    <to>
      <col>6</col>
      <colOff>1476375</colOff>
      <row>150</row>
      <rowOff>161925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6</col>
      <colOff>1485900</colOff>
      <row>157</row>
      <rowOff>180975</rowOff>
    </from>
    <to>
      <col>11</col>
      <colOff>1171575</colOff>
      <row>181</row>
      <rowOff>171450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6</col>
      <colOff>1476375</colOff>
      <row>134</row>
      <rowOff>0</rowOff>
    </from>
    <to>
      <col>11</col>
      <colOff>1171575</colOff>
      <row>158</row>
      <rowOff>9525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2</col>
      <colOff>9525</colOff>
      <row>150</row>
      <rowOff>152400</rowOff>
    </from>
    <to>
      <col>6</col>
      <colOff>1476375</colOff>
      <row>167</row>
      <rowOff>171450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2</col>
      <colOff>9525</colOff>
      <row>167</row>
      <rowOff>171450</rowOff>
    </from>
    <to>
      <col>6</col>
      <colOff>1485900</colOff>
      <row>181</row>
      <rowOff>171450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2</col>
      <colOff>9525</colOff>
      <row>196</row>
      <rowOff>171450</rowOff>
    </from>
    <to>
      <col>4</col>
      <colOff>771525</colOff>
      <row>211</row>
      <rowOff>161925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4</col>
      <colOff>762000</colOff>
      <row>196</row>
      <rowOff>171450</rowOff>
    </from>
    <to>
      <col>6</col>
      <colOff>1476375</colOff>
      <row>211</row>
      <rowOff>161925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6</col>
      <colOff>1485900</colOff>
      <row>218</row>
      <rowOff>180975</rowOff>
    </from>
    <to>
      <col>11</col>
      <colOff>1171575</colOff>
      <row>242</row>
      <rowOff>171450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6</col>
      <colOff>1476375</colOff>
      <row>194</row>
      <rowOff>180975</rowOff>
    </from>
    <to>
      <col>11</col>
      <colOff>1171575</colOff>
      <row>219</row>
      <rowOff>0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2</col>
      <colOff>9525</colOff>
      <row>211</row>
      <rowOff>152400</rowOff>
    </from>
    <to>
      <col>6</col>
      <colOff>1476375</colOff>
      <row>228</row>
      <rowOff>171450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2</col>
      <colOff>9525</colOff>
      <row>228</row>
      <rowOff>171450</rowOff>
    </from>
    <to>
      <col>6</col>
      <colOff>1485900</colOff>
      <row>242</row>
      <rowOff>171450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2</col>
      <colOff>9525</colOff>
      <row>257</row>
      <rowOff>171450</rowOff>
    </from>
    <to>
      <col>4</col>
      <colOff>771525</colOff>
      <row>272</row>
      <rowOff>161925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4</col>
      <colOff>762000</colOff>
      <row>257</row>
      <rowOff>171450</rowOff>
    </from>
    <to>
      <col>6</col>
      <colOff>1476375</colOff>
      <row>272</row>
      <rowOff>161925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6</col>
      <colOff>1485900</colOff>
      <row>279</row>
      <rowOff>180975</rowOff>
    </from>
    <to>
      <col>11</col>
      <colOff>1171575</colOff>
      <row>303</row>
      <rowOff>171450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6</col>
      <colOff>1476375</colOff>
      <row>255</row>
      <rowOff>180975</rowOff>
    </from>
    <to>
      <col>11</col>
      <colOff>1171575</colOff>
      <row>280</row>
      <rowOff>0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2</col>
      <colOff>9525</colOff>
      <row>272</row>
      <rowOff>152400</rowOff>
    </from>
    <to>
      <col>6</col>
      <colOff>1476375</colOff>
      <row>289</row>
      <rowOff>171450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2</col>
      <colOff>9525</colOff>
      <row>289</row>
      <rowOff>171450</rowOff>
    </from>
    <to>
      <col>6</col>
      <colOff>1485900</colOff>
      <row>303</row>
      <rowOff>171450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19050</colOff>
      <row>19</row>
      <rowOff>171450</rowOff>
    </from>
    <to>
      <col>6</col>
      <colOff>1466850</colOff>
      <row>35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571500</colOff>
      <row>19</row>
      <rowOff>171450</rowOff>
    </from>
    <to>
      <col>3</col>
      <colOff>1562100</colOff>
      <row>35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</col>
      <colOff>0</colOff>
      <row>41</row>
      <rowOff>95250</rowOff>
    </from>
    <to>
      <col>5</col>
      <colOff>1695450</colOff>
      <row>59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0</colOff>
      <row>4</row>
      <rowOff>0</rowOff>
    </from>
    <to>
      <col>6</col>
      <colOff>1457325</colOff>
      <row>19</row>
      <rowOff>123825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2</col>
      <colOff>0</colOff>
      <row>72</row>
      <rowOff>28575</rowOff>
    </from>
    <to>
      <col>3</col>
      <colOff>1514475</colOff>
      <row>83</row>
      <rowOff>142875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4</col>
      <colOff>0</colOff>
      <row>72</row>
      <rowOff>19050</rowOff>
    </from>
    <to>
      <col>5</col>
      <colOff>1628775</colOff>
      <row>83</row>
      <rowOff>142875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9525</colOff>
      <row>96</row>
      <rowOff>152400</rowOff>
    </from>
    <to>
      <col>3</col>
      <colOff>1524000</colOff>
      <row>108</row>
      <rowOff>171450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4</col>
      <colOff>47625</colOff>
      <row>96</row>
      <rowOff>152400</rowOff>
    </from>
    <to>
      <col>6</col>
      <colOff>1009650</colOff>
      <row>108</row>
      <rowOff>142875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0</colOff>
      <row>122</row>
      <rowOff>180975</rowOff>
    </from>
    <to>
      <col>3</col>
      <colOff>1562100</colOff>
      <row>136</row>
      <rowOff>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4</col>
      <colOff>66675</colOff>
      <row>122</row>
      <rowOff>180975</rowOff>
    </from>
    <to>
      <col>6</col>
      <colOff>476250</colOff>
      <row>136</row>
      <rowOff>38100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7</col>
      <colOff>9525</colOff>
      <row>14</row>
      <rowOff>9525</rowOff>
    </from>
    <to>
      <col>11</col>
      <colOff>1181100</colOff>
      <row>36</row>
      <rowOff>38100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</col>
      <colOff>371475</colOff>
      <row>153</row>
      <rowOff>47625</rowOff>
    </from>
    <to>
      <col>3</col>
      <colOff>1352550</colOff>
      <row>166</row>
      <rowOff>57150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3</col>
      <colOff>1552575</colOff>
      <row>153</row>
      <rowOff>28575</rowOff>
    </from>
    <to>
      <col>6</col>
      <colOff>381000</colOff>
      <row>166</row>
      <rowOff>57150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xcel Services" refreshedDate="46055.70838900463" createdVersion="8" refreshedVersion="8" minRefreshableVersion="3" recordCount="72" r:id="rId1">
  <cacheSource type="worksheet">
    <worksheetSource ref="A1:H912" sheet="RequestStats"/>
  </cacheSource>
  <cacheFields count="8">
    <cacheField name="ID" uniqueList="1" numFmtId="0" sqlType="0" hierarchy="0" level="0" databaseField="1">
      <sharedItems count="0"/>
    </cacheField>
    <cacheField name="Solicitud" uniqueList="1" numFmtId="0" sqlType="0" hierarchy="0" level="0" databaseField="1">
      <sharedItems count="2">
        <s v="Copia Digital"/>
        <s v="Prestamo"/>
      </sharedItems>
    </cacheField>
    <cacheField name="Creación" uniqueList="1" numFmtId="164" sqlType="0" hierarchy="0" level="0" databaseField="1">
      <sharedItems count="0" containsDate="1" containsNonDate="0" containsSemiMixedTypes="0" containsString="0" minDate="2026-01-06T11:31:00" maxDate="2026-02-02T15:33:00"/>
    </cacheField>
    <cacheField name="Respuesta" uniqueList="1" numFmtId="164" sqlType="0" hierarchy="0" level="0" databaseField="1">
      <sharedItems count="0" containsDate="1" containsNonDate="0" containsSemiMixedTypes="0" containsString="0" minDate="2026-01-06T12:18:00" maxDate="2026-02-02T16:21:00"/>
    </cacheField>
    <cacheField name="Gestor" uniqueList="1" numFmtId="0" sqlType="0" hierarchy="0" level="0" databaseField="1">
      <sharedItems count="0"/>
    </cacheField>
    <cacheField name="Prudencia" uniqueList="1" numFmtId="0" sqlType="0" hierarchy="0" level="0" databaseField="1">
      <sharedItems count="3">
        <s v="Dentro del horario"/>
        <s v="Fuera de horario"/>
        <s v="                              " u="1"/>
      </sharedItems>
    </cacheField>
    <cacheField name="ValidaciónCreación" uniqueList="1" numFmtId="22" sqlType="0" hierarchy="0" level="0" databaseField="1">
      <sharedItems count="0" containsDate="1" containsNonDate="0" containsSemiMixedTypes="0" containsString="0" minDate="2026-01-06T11:31:00" maxDate="2026-02-02T15:33:00"/>
    </cacheField>
    <cacheField name="TiempoLaboralEfectivo" uniqueList="1" numFmtId="21" sqlType="0" hierarchy="0" level="0" databaseField="1">
      <sharedItems count="0" containsDate="1" containsNonDate="0" containsSemiMixedTypes="0" containsString="0" minDate="1899-12-30T00:01:00" maxDate="1899-12-30T16:39:00"/>
    </cacheField>
  </cacheFields>
</pivotCacheDefinition>
</file>

<file path=xl/pivotCache/pivotCacheRecords1.xml><?xml version="1.0" encoding="utf-8"?>
<pivotCacheRecords xmlns="http://schemas.openxmlformats.org/spreadsheetml/2006/main" count="72">
  <r>
    <s v="GDC534"/>
    <x v="0"/>
    <d v="2026-01-06T11:31:00"/>
    <d v="2026-01-06T12:18:00"/>
    <s v="Andersson Beltre"/>
    <x v="0"/>
    <d v="2026-01-06T11:31:00"/>
    <d v="1899-12-30T00:47:00"/>
  </r>
  <r>
    <s v="GDC535"/>
    <x v="0"/>
    <d v="2026-01-06T16:50:00"/>
    <d v="2026-01-07T08:01:00"/>
    <s v="Genaro Corporan B"/>
    <x v="1"/>
    <d v="2026-01-07T08:00:00"/>
    <d v="1899-12-30T00:01:00"/>
  </r>
  <r>
    <s v="GDC537"/>
    <x v="0"/>
    <d v="2026-01-08T07:47:00"/>
    <d v="2026-01-08T09:08:00"/>
    <s v="Julio A Thomas G"/>
    <x v="1"/>
    <d v="2026-01-08T08:00:00"/>
    <d v="1899-12-30T01:08:00"/>
  </r>
  <r>
    <s v="GDC536"/>
    <x v="0"/>
    <d v="2026-01-07T15:49:00"/>
    <d v="2026-01-08T09:12:00"/>
    <s v="Julio A Thomas G"/>
    <x v="0"/>
    <d v="2026-01-07T15:49:00"/>
    <d v="1899-12-30T02:23:00"/>
  </r>
  <r>
    <s v="GDC539"/>
    <x v="0"/>
    <d v="2026-01-08T09:52:00"/>
    <d v="2026-01-08T10:49:00"/>
    <s v="Julio A Thomas G"/>
    <x v="0"/>
    <d v="2026-01-08T09:52:00"/>
    <d v="1899-12-30T00:57:00"/>
  </r>
  <r>
    <s v="GDC538"/>
    <x v="0"/>
    <d v="2026-01-08T09:39:00"/>
    <d v="2026-01-08T10:49:00"/>
    <s v="Julio A Thomas G"/>
    <x v="0"/>
    <d v="2026-01-08T09:39:00"/>
    <d v="1899-12-30T01:10:00"/>
  </r>
  <r>
    <s v="GDC540"/>
    <x v="0"/>
    <d v="2026-01-08T10:30:00"/>
    <d v="2026-01-08T10:52:00"/>
    <s v="Julio A Thomas G"/>
    <x v="0"/>
    <d v="2026-01-08T10:30:00"/>
    <d v="1899-12-30T00:22:00"/>
  </r>
  <r>
    <s v="GDC541"/>
    <x v="0"/>
    <d v="2026-01-08T14:46:00"/>
    <d v="2026-01-08T14:58:00"/>
    <s v="Kevin F Fernandez U"/>
    <x v="0"/>
    <d v="2026-01-08T14:46:00"/>
    <d v="1899-12-30T00:12:00"/>
  </r>
  <r>
    <s v="GDC542"/>
    <x v="0"/>
    <d v="2026-01-08T15:32:00"/>
    <d v="2026-01-08T16:51:00"/>
    <s v="Moises A Laureano M"/>
    <x v="0"/>
    <d v="2026-01-08T15:32:00"/>
    <d v="1899-12-30T01:19:00"/>
  </r>
  <r>
    <s v="GDP84"/>
    <x v="1"/>
    <d v="2026-01-08T16:18:00"/>
    <d v="2026-01-09T08:01:00"/>
    <s v="Moises A Laureano M"/>
    <x v="1"/>
    <d v="2026-01-09T08:00:00"/>
    <d v="1899-12-30T00:01:00"/>
  </r>
  <r>
    <s v="GDC543"/>
    <x v="0"/>
    <d v="2026-01-08T16:31:00"/>
    <d v="2026-01-09T08:14:00"/>
    <s v="Julio A Thomas G"/>
    <x v="1"/>
    <d v="2026-01-09T08:00:00"/>
    <d v="1899-12-30T00:14:00"/>
  </r>
  <r>
    <s v="GDC545"/>
    <x v="0"/>
    <d v="2026-01-09T10:57:00"/>
    <d v="2026-01-09T11:38:00"/>
    <s v="Julio A Thomas G"/>
    <x v="0"/>
    <d v="2026-01-09T10:57:00"/>
    <d v="1899-12-30T00:41:00"/>
  </r>
  <r>
    <s v="GDC544"/>
    <x v="0"/>
    <d v="2026-01-09T10:55:00"/>
    <d v="2026-01-09T11:43:00"/>
    <s v="Julio A Thomas G"/>
    <x v="0"/>
    <d v="2026-01-09T10:55:00"/>
    <d v="1899-12-30T00:48:00"/>
  </r>
  <r>
    <s v="GDC546"/>
    <x v="0"/>
    <d v="2026-01-09T11:08:00"/>
    <d v="2026-01-09T12:23:00"/>
    <s v="Julio A Thomas G"/>
    <x v="0"/>
    <d v="2026-01-09T11:08:00"/>
    <d v="1899-12-30T01:15:00"/>
  </r>
  <r>
    <s v="GDC547"/>
    <x v="0"/>
    <d v="2026-01-12T08:26:00"/>
    <d v="2026-01-12T09:05:00"/>
    <s v="Julio A Thomas G"/>
    <x v="0"/>
    <d v="2026-01-12T08:26:00"/>
    <d v="1899-12-30T00:39:00"/>
  </r>
  <r>
    <s v="GDC548"/>
    <x v="0"/>
    <d v="2026-01-12T11:40:00"/>
    <d v="2026-01-12T12:02:00"/>
    <s v="Moises A Laureano M"/>
    <x v="0"/>
    <d v="2026-01-12T11:40:00"/>
    <d v="1899-12-30T00:22:00"/>
  </r>
  <r>
    <s v="GDP85"/>
    <x v="1"/>
    <d v="2026-01-09T09:21:00"/>
    <d v="2026-01-13T07:06:00"/>
    <s v="Kevin F Fernandez U"/>
    <x v="0"/>
    <d v="2026-01-09T09:21:00"/>
    <d v="1899-12-30T16:39:00"/>
  </r>
  <r>
    <s v="GDC549"/>
    <x v="0"/>
    <d v="2026-01-13T12:33:00"/>
    <d v="2026-01-13T13:59:00"/>
    <s v="Kevin F Fernandez U"/>
    <x v="0"/>
    <d v="2026-01-13T12:33:00"/>
    <d v="1899-12-30T01:26:00"/>
  </r>
  <r>
    <s v="GDC550"/>
    <x v="0"/>
    <d v="2026-01-13T13:45:00"/>
    <d v="2026-01-13T14:41:00"/>
    <s v="Elvis G Valdez M"/>
    <x v="0"/>
    <d v="2026-01-13T13:45:00"/>
    <d v="1899-12-30T00:56:00"/>
  </r>
  <r>
    <s v="GDC551"/>
    <x v="0"/>
    <d v="2026-01-13T15:23:00"/>
    <d v="2026-01-13T15:59:00"/>
    <s v="Jose M Polanco M"/>
    <x v="0"/>
    <d v="2026-01-13T15:23:00"/>
    <d v="1899-12-30T00:36:00"/>
  </r>
  <r>
    <s v="GDC552"/>
    <x v="0"/>
    <d v="2026-01-13T17:05:00"/>
    <d v="2026-01-14T08:01:00"/>
    <s v="Moises A Laureano M"/>
    <x v="1"/>
    <d v="2026-01-14T08:00:00"/>
    <d v="1899-12-30T00:01:00"/>
  </r>
  <r>
    <s v="GDC553"/>
    <x v="0"/>
    <d v="2026-01-14T09:36:00"/>
    <d v="2026-01-14T10:18:00"/>
    <s v="Julio A Thomas G"/>
    <x v="0"/>
    <d v="2026-01-14T09:36:00"/>
    <d v="1899-12-30T00:42:00"/>
  </r>
  <r>
    <s v="GDC554"/>
    <x v="0"/>
    <d v="2026-01-14T09:43:00"/>
    <d v="2026-01-14T11:48:00"/>
    <s v="Elvis G Valdez M"/>
    <x v="0"/>
    <d v="2026-01-14T09:43:00"/>
    <d v="1899-12-30T02:05:00"/>
  </r>
  <r>
    <s v="GDC555"/>
    <x v="0"/>
    <d v="2026-01-14T11:47:00"/>
    <d v="2026-01-14T13:19:00"/>
    <s v="Moises A Laureano M"/>
    <x v="0"/>
    <d v="2026-01-14T11:47:00"/>
    <d v="1899-12-30T01:32:00"/>
  </r>
  <r>
    <s v="GDP86"/>
    <x v="1"/>
    <d v="2026-01-14T12:05:00"/>
    <d v="2026-01-14T14:14:00"/>
    <s v="Kevin F Fernandez U"/>
    <x v="0"/>
    <d v="2026-01-14T12:05:00"/>
    <d v="1899-12-30T02:09:00"/>
  </r>
  <r>
    <s v="GDC556"/>
    <x v="0"/>
    <d v="2026-01-15T08:53:00"/>
    <d v="2026-01-15T09:32:00"/>
    <s v="Elvis G Valdez M"/>
    <x v="0"/>
    <d v="2026-01-15T08:53:00"/>
    <d v="1899-12-30T00:39:00"/>
  </r>
  <r>
    <s v="GDC557"/>
    <x v="0"/>
    <d v="2026-01-15T09:11:00"/>
    <d v="2026-01-15T09:46:00"/>
    <s v="Elvis G Valdez M"/>
    <x v="0"/>
    <d v="2026-01-15T09:11:00"/>
    <d v="1899-12-30T00:35:00"/>
  </r>
  <r>
    <s v="GDC558"/>
    <x v="0"/>
    <d v="2026-01-15T09:20:00"/>
    <d v="2026-01-15T10:11:00"/>
    <s v="Elvis G Valdez M"/>
    <x v="0"/>
    <d v="2026-01-15T09:20:00"/>
    <d v="1899-12-30T00:51:00"/>
  </r>
  <r>
    <s v="GDC561"/>
    <x v="0"/>
    <d v="2026-01-15T10:41:00"/>
    <d v="2026-01-15T12:01:00"/>
    <s v="Elvis G Valdez M"/>
    <x v="0"/>
    <d v="2026-01-15T10:41:00"/>
    <d v="1899-12-30T01:20:00"/>
  </r>
  <r>
    <s v="GDC559"/>
    <x v="0"/>
    <d v="2026-01-15T10:06:00"/>
    <d v="2026-01-15T12:05:00"/>
    <s v="Elvis G Valdez M"/>
    <x v="0"/>
    <d v="2026-01-15T10:06:00"/>
    <d v="1899-12-30T01:59:00"/>
  </r>
  <r>
    <s v="GDC560"/>
    <x v="0"/>
    <d v="2026-01-15T10:21:00"/>
    <d v="2026-01-15T12:11:00"/>
    <s v="Elvis G Valdez M"/>
    <x v="0"/>
    <d v="2026-01-15T10:21:00"/>
    <d v="1899-12-30T01:50:00"/>
  </r>
  <r>
    <s v="GDC562"/>
    <x v="0"/>
    <d v="2026-01-15T12:01:00"/>
    <d v="2026-01-15T13:25:00"/>
    <s v="Elvis G Valdez M"/>
    <x v="0"/>
    <d v="2026-01-15T12:01:00"/>
    <d v="1899-12-30T01:24:00"/>
  </r>
  <r>
    <s v="GDP88"/>
    <x v="1"/>
    <d v="2026-01-15T12:14:00"/>
    <d v="2026-01-15T13:44:00"/>
    <s v="Moises A Laureano M"/>
    <x v="0"/>
    <d v="2026-01-15T12:14:00"/>
    <d v="1899-12-30T01:30:00"/>
  </r>
  <r>
    <s v="GDC563"/>
    <x v="0"/>
    <d v="2026-01-15T12:08:00"/>
    <d v="2026-01-15T13:46:00"/>
    <s v="Moises A Laureano M"/>
    <x v="0"/>
    <d v="2026-01-15T12:08:00"/>
    <d v="1899-12-30T01:38:00"/>
  </r>
  <r>
    <s v="GDC564"/>
    <x v="0"/>
    <d v="2026-01-15T14:28:00"/>
    <d v="2026-01-15T15:03:00"/>
    <s v="Julio A Thomas G"/>
    <x v="0"/>
    <d v="2026-01-15T14:28:00"/>
    <d v="1899-12-30T00:35:00"/>
  </r>
  <r>
    <s v="GDC565"/>
    <x v="0"/>
    <d v="2026-01-16T10:48:00"/>
    <d v="2026-01-16T11:41:00"/>
    <s v="Moises A Laureano M"/>
    <x v="0"/>
    <d v="2026-01-16T10:48:00"/>
    <d v="1899-12-30T00:53:00"/>
  </r>
  <r>
    <s v="GDC566"/>
    <x v="0"/>
    <d v="2026-01-16T14:27:00"/>
    <d v="2026-01-16T15:16:00"/>
    <s v="Kevin F Fernandez U"/>
    <x v="0"/>
    <d v="2026-01-16T14:27:00"/>
    <d v="1899-12-30T00:49:00"/>
  </r>
  <r>
    <s v="GDC567"/>
    <x v="0"/>
    <d v="2026-01-16T14:29:00"/>
    <d v="2026-01-16T15:53:00"/>
    <s v="Julio A Thomas G"/>
    <x v="0"/>
    <d v="2026-01-16T14:29:00"/>
    <d v="1899-12-30T01:24:00"/>
  </r>
  <r>
    <s v="GDC568"/>
    <x v="0"/>
    <d v="2026-01-19T07:47:00"/>
    <d v="2026-01-19T08:39:00"/>
    <s v="Elvis G Valdez M"/>
    <x v="1"/>
    <d v="2026-01-19T08:00:00"/>
    <d v="1899-12-30T00:39:00"/>
  </r>
  <r>
    <s v="GDC569"/>
    <x v="0"/>
    <d v="2026-01-19T07:53:00"/>
    <d v="2026-01-19T09:17:00"/>
    <s v="Elvis G Valdez M"/>
    <x v="1"/>
    <d v="2026-01-19T08:00:00"/>
    <d v="1899-12-30T01:17:00"/>
  </r>
  <r>
    <s v="GDC570"/>
    <x v="0"/>
    <d v="2026-01-19T11:02:00"/>
    <d v="2026-01-19T11:39:00"/>
    <s v="Elvis G Valdez M"/>
    <x v="0"/>
    <d v="2026-01-19T11:02:00"/>
    <d v="1899-12-30T00:37:00"/>
  </r>
  <r>
    <s v="GDC571"/>
    <x v="0"/>
    <d v="2026-01-19T14:56:00"/>
    <d v="2026-01-19T15:31:00"/>
    <s v="Julio A Thomas G"/>
    <x v="0"/>
    <d v="2026-01-19T14:56:00"/>
    <d v="1899-12-30T00:35:00"/>
  </r>
  <r>
    <s v="GDC572"/>
    <x v="0"/>
    <d v="2026-01-20T13:46:00"/>
    <d v="2026-01-20T14:05:00"/>
    <s v="Kevin F Fernandez U"/>
    <x v="0"/>
    <d v="2026-01-20T13:46:00"/>
    <d v="1899-12-30T00:19:00"/>
  </r>
  <r>
    <s v="GDC573"/>
    <x v="0"/>
    <d v="2026-01-20T14:13:00"/>
    <d v="2026-01-20T14:32:00"/>
    <s v="Kevin F Fernandez U"/>
    <x v="0"/>
    <d v="2026-01-20T14:13:00"/>
    <d v="1899-12-30T00:19:00"/>
  </r>
  <r>
    <s v="GDC574"/>
    <x v="0"/>
    <d v="2026-01-22T07:48:00"/>
    <d v="2026-01-22T08:52:00"/>
    <s v="Elvis G Valdez M"/>
    <x v="1"/>
    <d v="2026-01-22T08:00:00"/>
    <d v="1899-12-30T00:52:00"/>
  </r>
  <r>
    <s v="GDC575"/>
    <x v="0"/>
    <d v="2026-01-23T08:26:00"/>
    <d v="2026-01-23T09:52:00"/>
    <s v="Elvis G Valdez M"/>
    <x v="0"/>
    <d v="2026-01-23T08:26:00"/>
    <d v="1899-12-30T01:26:00"/>
  </r>
  <r>
    <s v="GDC576"/>
    <x v="0"/>
    <d v="2026-01-23T10:21:00"/>
    <d v="2026-01-23T10:47:00"/>
    <s v="Julio A Thomas G"/>
    <x v="0"/>
    <d v="2026-01-23T10:21:00"/>
    <d v="1899-12-30T00:26:00"/>
  </r>
  <r>
    <s v="GDC577"/>
    <x v="0"/>
    <d v="2026-01-23T10:22:00"/>
    <d v="2026-01-23T11:13:00"/>
    <s v="Elvis G Valdez M"/>
    <x v="0"/>
    <d v="2026-01-23T10:22:00"/>
    <d v="1899-12-30T00:51:00"/>
  </r>
  <r>
    <s v="GDC578"/>
    <x v="0"/>
    <d v="2026-01-23T15:29:00"/>
    <d v="2026-01-23T16:02:00"/>
    <s v="Elvis G Valdez M"/>
    <x v="0"/>
    <d v="2026-01-23T15:29:00"/>
    <d v="1899-12-30T00:33:00"/>
  </r>
  <r>
    <s v="GDC579"/>
    <x v="0"/>
    <d v="2026-01-23T15:31:00"/>
    <d v="2026-01-23T16:05:00"/>
    <s v="Elvis G Valdez M"/>
    <x v="0"/>
    <d v="2026-01-23T15:31:00"/>
    <d v="1899-12-30T00:34:00"/>
  </r>
  <r>
    <s v="GDC581"/>
    <x v="0"/>
    <d v="2026-01-27T11:03:00"/>
    <d v="2026-01-27T11:14:00"/>
    <s v="Kevin F Fernandez U"/>
    <x v="0"/>
    <d v="2026-01-27T11:03:00"/>
    <d v="1899-12-30T00:11:00"/>
  </r>
  <r>
    <s v="GDC580"/>
    <x v="0"/>
    <d v="2026-01-27T10:40:00"/>
    <d v="2026-01-27T11:26:00"/>
    <s v="Elvis G Valdez M"/>
    <x v="0"/>
    <d v="2026-01-27T10:40:00"/>
    <d v="1899-12-30T00:46:00"/>
  </r>
  <r>
    <s v="GDC582"/>
    <x v="0"/>
    <d v="2026-01-27T15:26:00"/>
    <d v="2026-01-27T15:37:00"/>
    <s v="Kevin F Fernandez U"/>
    <x v="0"/>
    <d v="2026-01-27T15:26:00"/>
    <d v="1899-12-30T00:11:00"/>
  </r>
  <r>
    <s v="GDC583"/>
    <x v="0"/>
    <d v="2026-01-27T15:36:00"/>
    <d v="2026-01-27T16:02:00"/>
    <s v="Elvis G Valdez M"/>
    <x v="0"/>
    <d v="2026-01-27T15:36:00"/>
    <d v="1899-12-30T00:26:00"/>
  </r>
  <r>
    <s v="GDC584"/>
    <x v="0"/>
    <d v="2026-01-28T16:11:00"/>
    <d v="2026-01-29T08:01:00"/>
    <s v="Elvis G Valdez M"/>
    <x v="1"/>
    <d v="2026-01-29T08:00:00"/>
    <d v="1899-12-30T00:01:00"/>
  </r>
  <r>
    <s v="GDC586"/>
    <x v="0"/>
    <d v="2026-01-29T09:00:00"/>
    <d v="2026-01-29T09:15:00"/>
    <s v="Kevin F Fernandez U"/>
    <x v="0"/>
    <d v="2026-01-29T09:00:00"/>
    <d v="1899-12-30T00:15:00"/>
  </r>
  <r>
    <s v="GDC585"/>
    <x v="0"/>
    <d v="2026-01-28T17:42:00"/>
    <d v="2026-01-29T09:30:00"/>
    <s v="Kevin F Fernandez U"/>
    <x v="1"/>
    <d v="2026-01-29T08:00:00"/>
    <d v="1899-12-30T01:30:00"/>
  </r>
  <r>
    <s v="GDC587"/>
    <x v="0"/>
    <d v="2026-01-29T09:52:00"/>
    <d v="2026-01-29T11:12:00"/>
    <s v="Elvis G Valdez M"/>
    <x v="0"/>
    <d v="2026-01-29T09:52:00"/>
    <d v="1899-12-30T01:20:00"/>
  </r>
  <r>
    <s v="GDP89"/>
    <x v="1"/>
    <d v="2026-01-29T12:01:00"/>
    <d v="2026-01-29T13:56:00"/>
    <s v="Kevin F Fernandez U"/>
    <x v="0"/>
    <d v="2026-01-29T12:01:00"/>
    <d v="1899-12-30T01:55:00"/>
  </r>
  <r>
    <s v="GDC588"/>
    <x v="0"/>
    <d v="2026-01-29T13:19:00"/>
    <d v="2026-01-29T13:56:00"/>
    <s v="Elvis G Valdez M"/>
    <x v="0"/>
    <d v="2026-01-29T13:19:00"/>
    <d v="1899-12-30T00:37:00"/>
  </r>
  <r>
    <s v="GDC589"/>
    <x v="0"/>
    <d v="2026-01-29T15:46:00"/>
    <d v="2026-01-29T16:10:00"/>
    <s v="Julio A Thomas G"/>
    <x v="0"/>
    <d v="2026-01-29T15:46:00"/>
    <d v="1899-12-30T00:24:00"/>
  </r>
  <r>
    <s v="GDP90"/>
    <x v="1"/>
    <d v="2026-01-29T14:19:00"/>
    <d v="2026-01-30T08:31:00"/>
    <s v="Kevin F Fernandez U"/>
    <x v="0"/>
    <d v="2026-01-29T14:19:00"/>
    <d v="1899-12-30T03:12:00"/>
  </r>
  <r>
    <s v="GDP91"/>
    <x v="1"/>
    <d v="2026-01-29T17:07:00"/>
    <d v="2026-01-30T09:01:00"/>
    <s v="Kevin F Fernandez U"/>
    <x v="1"/>
    <d v="2026-01-30T08:00:00"/>
    <d v="1899-12-30T01:01:00"/>
  </r>
  <r>
    <s v="GDC590"/>
    <x v="0"/>
    <d v="2026-01-30T09:33:00"/>
    <d v="2026-01-30T10:33:00"/>
    <s v="Julio A Thomas G"/>
    <x v="0"/>
    <d v="2026-01-30T09:33:00"/>
    <d v="1899-12-30T01:00:00"/>
  </r>
  <r>
    <s v="GDC591"/>
    <x v="0"/>
    <d v="2026-01-30T16:16:00"/>
    <d v="2026-02-02T08:12:00"/>
    <s v="Kevin F Fernandez U"/>
    <x v="1"/>
    <d v="2026-02-02T08:00:00"/>
    <d v="1899-12-30T00:12:00"/>
  </r>
  <r>
    <s v="GDP92"/>
    <x v="1"/>
    <d v="2026-01-30T17:46:00"/>
    <d v="2026-02-02T08:14:00"/>
    <s v="Kevin F Fernandez U"/>
    <x v="1"/>
    <d v="2026-02-02T08:00:00"/>
    <d v="1899-12-30T00:14:00"/>
  </r>
  <r>
    <s v="GDC592"/>
    <x v="0"/>
    <d v="2026-02-02T10:16:00"/>
    <d v="2026-02-02T11:24:00"/>
    <s v="Elvis G Valdez M"/>
    <x v="0"/>
    <d v="2026-02-02T10:16:00"/>
    <d v="1899-12-30T01:08:00"/>
  </r>
  <r>
    <s v="GDC593"/>
    <x v="0"/>
    <d v="2026-02-02T11:32:00"/>
    <d v="2026-02-02T12:00:00"/>
    <s v="Kevin F Fernandez U"/>
    <x v="0"/>
    <d v="2026-02-02T11:32:00"/>
    <d v="1899-12-30T00:28:00"/>
  </r>
  <r>
    <s v="GDC594"/>
    <x v="0"/>
    <d v="2026-02-02T11:34:00"/>
    <d v="2026-02-02T12:02:00"/>
    <s v="Kevin F Fernandez U"/>
    <x v="0"/>
    <d v="2026-02-02T11:34:00"/>
    <d v="1899-12-30T00:28:00"/>
  </r>
  <r>
    <s v="GDC595"/>
    <x v="0"/>
    <d v="2026-02-02T11:36:00"/>
    <d v="2026-02-02T12:03:00"/>
    <s v="Kevin F Fernandez U"/>
    <x v="0"/>
    <d v="2026-02-02T11:36:00"/>
    <d v="1899-12-30T00:27:00"/>
  </r>
  <r>
    <s v="GDC596"/>
    <x v="0"/>
    <d v="2026-02-02T14:43:00"/>
    <d v="2026-02-02T15:47:00"/>
    <s v="Julio A Thomas G"/>
    <x v="0"/>
    <d v="2026-02-02T14:43:00"/>
    <d v="1899-12-30T01:04:00"/>
  </r>
  <r>
    <s v="GDC597"/>
    <x v="0"/>
    <d v="2026-02-02T15:33:00"/>
    <d v="2026-02-02T16:21:00"/>
    <s v="Kevin F Fernandez U"/>
    <x v="0"/>
    <d v="2026-02-02T15:33:00"/>
    <d v="1899-12-30T00:48: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3" cacheId="4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C37:F41" firstHeaderRow="1" firstDataRow="2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m="1" x="2"/>
        <item t="default" sd="1"/>
      </items>
    </pivotField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Fields count="1">
    <field x="5"/>
  </colFields>
  <colItems count="3">
    <i t="data" r="0" i="0">
      <x v="0"/>
    </i>
    <i t="data" r="0" i="0">
      <x v="1"/>
    </i>
    <i t="grand" r="0" i="0">
      <x v="0"/>
    </i>
  </colItems>
  <dataFields count="1">
    <dataField name="Cuenta de Solicitud" fld="1" subtotal="count" showDataAs="normal" baseField="0" baseItem="0"/>
  </dataFields>
  <chartFormats count="8">
    <chartFormat chart="2" format="6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2" format="7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3" format="4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3" format="5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4" format="6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4" format="7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Calculodetiempo" displayName="Calculodetiempo" ref="C3:G4" headerRowCount="1" totalsRowShown="0">
  <autoFilter ref="C3:G4"/>
  <tableColumns count="5">
    <tableColumn id="3" name="A tiempo" dataDxfId="168">
      <calculatedColumnFormula>COUNTIF('RequestStats'!H:H, "&lt;02:00:01")</calculatedColumnFormula>
    </tableColumn>
    <tableColumn id="1" name="Fuera de tiempo">
      <calculatedColumnFormula>COUNTIF('RequestStats'!H:H, "&gt;02:00:01")</calculatedColumnFormula>
    </tableColumn>
    <tableColumn id="2" name="Promedio Tiempo de respuesta">
      <calculatedColumnFormula>AVERAGE('RequestStats'!H:H)</calculatedColumnFormula>
    </tableColumn>
    <tableColumn id="4" name="Dentro del horario" dataDxfId="167">
      <calculatedColumnFormula>COUNTIF('RequestStats'!F:F, "Dentro del horario")</calculatedColumnFormula>
    </tableColumn>
    <tableColumn id="5" name="Fuera de horario">
      <calculatedColumnFormula>COUNTIF('RequestStats'!F:F, "Fuera de horario")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alculodetiempo4" displayName="Calculodetiempo4" ref="C64:G65" headerRowCount="1" totalsRowShown="0">
  <autoFilter ref="C64:G65"/>
  <tableColumns count="5">
    <tableColumn id="3" name="A tiempo" dataDxfId="166">
      <calculatedColumnFormula>COUNTIFS('RequestStats'!H:H, "&lt;=02:00:00", 'RequestStats'!C:C, "&gt;=" &amp; DATE(2026,1,1), 'RequestStats'!C:C, "&lt;=" &amp; DATE(2026,4,1))</calculatedColumnFormula>
    </tableColumn>
    <tableColumn id="1" name="Fuera de tiempo">
      <calculatedColumnFormula>COUNTIFS('RequestStats'!H:H, "&gt;02:00:01", 'RequestStats'!C:C, "&gt;=" &amp; DATE(2026,1,1), 'RequestStats'!C:C, "&lt;=" &amp; DATE(2026,4,1))</calculatedColumnFormula>
    </tableColumn>
    <tableColumn id="2" name="Promedio Tiempo de respuesta" dataDxfId="165">
      <calculatedColumnFormula>AVERAGEIFS('RequestStats'!H:H,'RequestStats'!C:C, "&lt;=" &amp; DATE(2026,4,1), 'RequestStats'!C:C, "&gt;=" &amp; DATE(2026,1,1))</calculatedColumnFormula>
    </tableColumn>
    <tableColumn id="4" name="Dentro del horario" dataDxfId="164">
      <calculatedColumnFormula>COUNTIFS('RequestStats'!C:C, "&gt;=" &amp; DATE(2026,1,1), 'RequestStats'!C:C, "&lt;=" &amp; DATE(2026,4,1), 'RequestStats'!F:F, "Dentro del Horario")</calculatedColumnFormula>
    </tableColumn>
    <tableColumn id="5" name="Fuera de horario">
      <calculatedColumnFormula>COUNTIFS('RequestStats'!C:C, "&gt;=" &amp; DATE(2026,1,1), 'RequestStats'!C:C, "&lt;=" &amp; DATE(2026,4,1), 'RequestStats'!F:F, "Fuera de Horario")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a792627" displayName="Tabla792627" ref="H63:L73" headerRowCount="1" totalsRowShown="0">
  <autoFilter ref="H63:L73"/>
  <tableColumns count="5">
    <tableColumn id="1" name="Gestores"/>
    <tableColumn id="2" name="Total" dataDxfId="163">
      <calculatedColumnFormula>COUNTIFS('RequestStats'!E:E,Tabla792627[[#This Row],[Gestores]], 'RequestStats'!C:C, "&gt;=" &amp; DATE(2026,1,1), 'RequestStats'!C:C, "&lt;=" &amp; DATE(2026,4,1))</calculatedColumnFormula>
    </tableColumn>
    <tableColumn id="3" name="A tiempo" dataDxfId="162">
      <calculatedColumnFormula>COUNTIFS('RequestStats'!I:I, "A tiempo", 'RequestStats'!E:E,Metricas!H64, 'RequestStats'!C:C, "&gt;=" &amp; DATE(2026,1,1), 'RequestStats'!C:C, "&lt;=" &amp; DATE(2026,4,1))</calculatedColumnFormula>
    </tableColumn>
    <tableColumn id="4" name="Fuera de tiempo" dataDxfId="161">
      <calculatedColumnFormula>COUNTIFS('RequestStats'!I:I, "Fuera de tiempo", 'RequestStats'!E:E,Metricas!H64, 'RequestStats'!C:C, "&gt;=" &amp; DATE(2026,1,1), 'RequestStats'!C:C, "&lt;=" &amp; DATE(2026,4,1))</calculatedColumnFormula>
    </tableColumn>
    <tableColumn id="5" name="Promedio" dataDxfId="160">
      <calculatedColumnFormula>AVERAGEIFS('RequestStats'!H:H, 'RequestStats'!C:C, "&gt;=" &amp; DATE(2026,1,1), 'RequestStats'!C:C, "&lt;=" &amp; DATE(2026,4,1), 'RequestStats'!E:E, Tabla792627[[#This Row],[Gestores]])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a71516911" displayName="Tabla71516911" ref="H2:L13" headerRowCount="1" totalsRowShown="0">
  <autoFilter ref="H2:L13"/>
  <tableColumns count="5">
    <tableColumn id="1" name="Gestores"/>
    <tableColumn id="2" name="Total" dataDxfId="159">
      <calculatedColumnFormula>COUNTIF('RequestStats'!E:E,Metricas!H3)</calculatedColumnFormula>
    </tableColumn>
    <tableColumn id="3" name="A tiempo" dataDxfId="158">
      <calculatedColumnFormula>COUNTIFS('RequestStats'!I:I, "A tiempo", 'RequestStats'!E:E,Metricas!H3)</calculatedColumnFormula>
    </tableColumn>
    <tableColumn id="4" name="Fuera de tiempo">
      <calculatedColumnFormula>COUNTIFS('RequestStats'!I:I, "Fuera de tiempo", 'RequestStats'!E:E,Metricas!H3)</calculatedColumnFormula>
    </tableColumn>
    <tableColumn id="5" name="Promedio" dataDxfId="157">
      <calculatedColumnFormula>AVERAGEIFS('RequestStats'!H:H, 'RequestStats'!C:C, "&gt;=" &amp; DATE(2026,1,1), 'RequestStats'!C:C, "&lt;=" &amp; DATE(2026,12,31), 'RequestStats'!E:E, Tabla71516911[[#This Row],[Gestores]])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alculodetiempo412" displayName="Calculodetiempo412" ref="C125:G126" headerRowCount="1" totalsRowShown="0">
  <autoFilter ref="C125:G126"/>
  <tableColumns count="5">
    <tableColumn id="3" name="A tiempo" dataDxfId="156">
      <calculatedColumnFormula>COUNTIFS('RequestStats'!H:H, "&lt;=02:00:00", 'RequestStats'!C:C, "&gt;=" &amp; DATE(2026,4,1), 'RequestStats'!C:C, "&lt;=" &amp; DATE(2026,7,1))</calculatedColumnFormula>
    </tableColumn>
    <tableColumn id="1" name="Fuera de tiempo">
      <calculatedColumnFormula>COUNTIFS('RequestStats'!H:H, "&gt;02:00:01", 'RequestStats'!C:C, "&gt;=" &amp; DATE(2026,4,1), 'RequestStats'!C:C, "&lt;=" &amp; DATE(2026,7,1))</calculatedColumnFormula>
    </tableColumn>
    <tableColumn id="2" name="Promedio Tiempo de respuesta" dataDxfId="155">
      <calculatedColumnFormula>AVERAGEIFS('RequestStats'!H:H,'RequestStats'!C:C, "&lt;=" &amp; DATE(2026,7,1), 'RequestStats'!C:C, "&gt;=" &amp; DATE(2026,4,1))</calculatedColumnFormula>
    </tableColumn>
    <tableColumn id="4" name="Dentro del horario" dataDxfId="154">
      <calculatedColumnFormula>COUNTIFS('RequestStats'!C:C, "&gt;=" &amp; DATE(2026,4,1), 'RequestStats'!C:C, "&lt;=" &amp; DATE(2026,7,1), 'RequestStats'!F:F, "Dentro del Horario")</calculatedColumnFormula>
    </tableColumn>
    <tableColumn id="5" name="Fuera de horario">
      <calculatedColumnFormula>COUNTIFS('RequestStats'!C:C, "&gt;=" &amp; DATE(2026,4,1), 'RequestStats'!C:C, "&lt;=" &amp; DATE(2026,7,1), 'RequestStats'!F:F, "Fuera de Horario")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la79262713" displayName="Tabla79262713" ref="H124:L134" headerRowCount="1" totalsRowShown="0">
  <autoFilter ref="H124:L134"/>
  <tableColumns count="5">
    <tableColumn id="1" name="Gestores" dataDxfId="153"/>
    <tableColumn id="2" name="Total" dataDxfId="152">
      <calculatedColumnFormula>COUNTIFS('RequestStats'!E:E,Tabla79262713[[#This Row],[Gestores]], 'RequestStats'!C:C, "&gt;=" &amp; DATE(2026,4,1), 'RequestStats'!C:C, "&lt;=" &amp; DATE(2026,7,1))</calculatedColumnFormula>
    </tableColumn>
    <tableColumn id="3" name="A tiempo" dataDxfId="151">
      <calculatedColumnFormula>COUNTIFS('RequestStats'!I:I, "A tiempo", 'RequestStats'!E:E,Metricas!H125, 'RequestStats'!C:C, "&gt;=" &amp; DATE(2026,4,1), 'RequestStats'!C:C, "&lt;=" &amp; DATE(2026,7,1))</calculatedColumnFormula>
    </tableColumn>
    <tableColumn id="4" name="Fuera de tiempo" dataDxfId="150">
      <calculatedColumnFormula>COUNTIFS('RequestStats'!I:I, "Fuera de tiempo", 'RequestStats'!E:E,Metricas!H125, 'RequestStats'!C:C, "&gt;=" &amp; DATE(2026,4,1), 'RequestStats'!C:C, "&lt;=" &amp; DATE(2026,7,1))</calculatedColumnFormula>
    </tableColumn>
    <tableColumn id="5" name="Promedio" dataDxfId="149">
      <calculatedColumnFormula>AVERAGEIFS('RequestStats'!H:H, 'RequestStats'!C:C, "&gt;=" &amp; DATE(2026,4,1), 'RequestStats'!C:C, "&lt;=" &amp; DATE(2026,7,1), 'RequestStats'!E:E, Tabla79262713[[#This Row],[Gestores]])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Calculodetiempo41214" displayName="Calculodetiempo41214" ref="C186:G187" headerRowCount="1" totalsRowShown="0">
  <autoFilter ref="C186:G187"/>
  <tableColumns count="5">
    <tableColumn id="3" name="A tiempo" dataDxfId="148">
      <calculatedColumnFormula>COUNTIFS('RequestStats'!H:H, "&lt;=02:00:00", 'RequestStats'!C:C, "&gt;=" &amp; DATE(2026,7,1), 'RequestStats'!C:C, "&lt;=" &amp; DATE(2026,10,1))</calculatedColumnFormula>
    </tableColumn>
    <tableColumn id="1" name="Fuera de tiempo">
      <calculatedColumnFormula>COUNTIFS('RequestStats'!H:H, "&gt;02:00:01", 'RequestStats'!C:C, "&gt;=" &amp; DATE(2026,7,1), 'RequestStats'!C:C, "&lt;=" &amp; DATE(2026,10,1))</calculatedColumnFormula>
    </tableColumn>
    <tableColumn id="2" name="Promedio Tiempo de respuesta" dataDxfId="147">
      <calculatedColumnFormula>AVERAGEIFS('RequestStats'!H:H,'RequestStats'!C:C, "&lt;=" &amp; DATE(2026,10,1), 'RequestStats'!C:C, "&gt;=" &amp; DATE(2026,7,1))</calculatedColumnFormula>
    </tableColumn>
    <tableColumn id="4" name="Dentro del horario" dataDxfId="146">
      <calculatedColumnFormula>COUNTIFS('RequestStats'!C:C, "&gt;=" &amp; DATE(2026,7,1), 'RequestStats'!C:C, "&lt;=" &amp; DATE(2026,10,1), 'RequestStats'!F:F, "Dentro del Horario")</calculatedColumnFormula>
    </tableColumn>
    <tableColumn id="5" name="Fuera de horario">
      <calculatedColumnFormula>COUNTIFS('RequestStats'!C:C, "&gt;=" &amp; DATE(2026,7,1), 'RequestStats'!C:C, "&lt;=" &amp; DATE(2026,10,1), 'RequestStats'!F:F, "Fuera de Horario")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abla7926271316" displayName="Tabla7926271316" ref="H185:L195" headerRowCount="1" totalsRowShown="0">
  <autoFilter ref="H185:L195"/>
  <tableColumns count="5">
    <tableColumn id="1" name="Gestores" dataDxfId="145"/>
    <tableColumn id="2" name="Total" dataDxfId="144">
      <calculatedColumnFormula>COUNTIFS('RequestStats'!E:E,Tabla7926271316[[#This Row],[Gestores]], 'RequestStats'!C:C, "&gt;=" &amp; DATE(2026,7,1), 'RequestStats'!C:C, "&lt;=" &amp; DATE(2026,10,1))</calculatedColumnFormula>
    </tableColumn>
    <tableColumn id="3" name="A tiempo" dataDxfId="143">
      <calculatedColumnFormula>COUNTIFS('RequestStats'!I:I, "A tiempo", 'RequestStats'!E:E,Metricas!H186, 'RequestStats'!C:C, "&gt;=" &amp; DATE(2026,7,1), 'RequestStats'!C:C, "&lt;=" &amp; DATE(2026,10,1))</calculatedColumnFormula>
    </tableColumn>
    <tableColumn id="4" name="Fuera de tiempo" dataDxfId="142">
      <calculatedColumnFormula>COUNTIFS('RequestStats'!I:I, "Fuera de tiempo", 'RequestStats'!E:E,Metricas!H186, 'RequestStats'!C:C, "&gt;=" &amp; DATE(2026,7,1), 'RequestStats'!C:C, "&lt;=" &amp; DATE(2026,10,1))</calculatedColumnFormula>
    </tableColumn>
    <tableColumn id="5" name="Promedio" dataDxfId="141">
      <calculatedColumnFormula>AVERAGEIFS('RequestStats'!H:H, 'RequestStats'!C:C, "&gt;=" &amp; DATE(2026,7,1), 'RequestStats'!C:C, "&lt;=" &amp; DATE(2026,10,1), 'RequestStats'!E:E, Tabla7926271316[[#This Row],[Gestores]])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Calculodetiempo412145" displayName="Calculodetiempo412145" ref="C247:G248" headerRowCount="1" totalsRowShown="0">
  <autoFilter ref="C247:G248"/>
  <tableColumns count="5">
    <tableColumn id="3" name="A tiempo" dataDxfId="140">
      <calculatedColumnFormula>COUNTIFS('RequestStats'!H:H, "&lt;=02:00:00", 'RequestStats'!C:C, "&gt;=" &amp; DATE(2026,10,1), 'RequestStats'!C:C, "&lt;=" &amp; DATE(2026,12,1))</calculatedColumnFormula>
    </tableColumn>
    <tableColumn id="1" name="Fuera de tiempo">
      <calculatedColumnFormula>COUNTIFS('RequestStats'!H:H, "&gt;02:00:01", 'RequestStats'!C:C, "&gt;=" &amp; DATE(2026,10,1), 'RequestStats'!C:C, "&lt;=" &amp; DATE(2026,12,1))</calculatedColumnFormula>
    </tableColumn>
    <tableColumn id="2" name="Promedio Tiempo de respuesta" dataDxfId="139">
      <calculatedColumnFormula>AVERAGEIFS('RequestStats'!H:H,'RequestStats'!C:C, "&lt;=" &amp; DATE(2026,12,1), 'RequestStats'!C:C, "&gt;=" &amp; DATE(2026,10,1))</calculatedColumnFormula>
    </tableColumn>
    <tableColumn id="4" name="Dentro del horario" dataDxfId="138">
      <calculatedColumnFormula>COUNTIFS('RequestStats'!C:C, "&gt;=" &amp; DATE(2026,10,1), 'RequestStats'!C:C, "&lt;=" &amp; DATE(2026,12,1), 'RequestStats'!F:F, "Dentro del Horario")</calculatedColumnFormula>
    </tableColumn>
    <tableColumn id="5" name="Fuera de horario">
      <calculatedColumnFormula>COUNTIFS('RequestStats'!C:C, "&gt;=" &amp; DATE(2026,10,1), 'RequestStats'!C:C, "&lt;=" &amp; DATE(2026,12,1), 'RequestStats'!F:F, "Fuera de Horario")</calculatedColumnFormula>
    </tableColumn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abla79262713167" displayName="Tabla79262713167" ref="H246:L256" headerRowCount="1" totalsRowShown="0">
  <autoFilter ref="H246:L256"/>
  <tableColumns count="5">
    <tableColumn id="1" name="Gestores" dataDxfId="137"/>
    <tableColumn id="2" name="Total" dataDxfId="136">
      <calculatedColumnFormula>COUNTIFS('RequestStats'!E:E,Tabla79262713167[[#This Row],[Gestores]], 'RequestStats'!C:C, "&gt;=" &amp; DATE(2026,10,1), 'RequestStats'!C:C, "&lt;=" &amp; DATE(2026,12,1))</calculatedColumnFormula>
    </tableColumn>
    <tableColumn id="3" name="A tiempo" dataDxfId="135">
      <calculatedColumnFormula>COUNTIFS('RequestStats'!I:I, "A tiempo", 'RequestStats'!E:E,Metricas!H247, 'RequestStats'!C:C, "&gt;=" &amp; DATE(2026,10,1), 'RequestStats'!C:C, "&lt;=" &amp; DATE(2026,12,1))</calculatedColumnFormula>
    </tableColumn>
    <tableColumn id="4" name="Fuera de tiempo" dataDxfId="134">
      <calculatedColumnFormula>COUNTIFS('RequestStats'!I:I, "Fuera de tiempo", 'RequestStats'!E:E,Metricas!H247, 'RequestStats'!C:C, "&gt;=" &amp; DATE(2026,10,1), 'RequestStats'!C:C, "&lt;=" &amp; DATE(2026,12,1))</calculatedColumnFormula>
    </tableColumn>
    <tableColumn id="5" name="Promedio" dataDxfId="133">
      <calculatedColumnFormula>AVERAGEIFS('RequestStats'!H:H, 'RequestStats'!C:C, "&gt;=" &amp; DATE(2026,10,1), 'RequestStats'!C:C, "&lt;=" &amp; DATE(2026,12,1), 'RequestStats'!E:E, Tabla79262713167[[#This Row],[Gestores]])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RequestStats" displayName="RequestStats" ref="A1:J2" headerRowCount="1" totalsRowShown="0" headerRowDxfId="129">
  <autoFilter ref="A1:J912"/>
  <tableColumns count="10">
    <tableColumn id="1" name="ID"/>
    <tableColumn id="2" name="Solicitud"/>
    <tableColumn id="3" name="Creación" dataDxfId="128"/>
    <tableColumn id="4" name="Respuesta" dataDxfId="127"/>
    <tableColumn id="5" name="Gestor"/>
    <tableColumn id="9" name="Prudencia" dataDxfId="126">
      <calculatedColumnFormula>IF(OR(HOUR(RequestStats[[#This Row],[Creación]])&lt;8, HOUR(RequestStats[[#This Row],[Creación]])&gt;=16), "Fuera de horario", "Dentro del horario")</calculatedColumnFormula>
    </tableColumn>
    <tableColumn id="11" name="ValidaciónCreación" dataDxfId="125">
      <calculatedColumnFormula>IF(HOUR(RequestStats[[#This Row],[Creación]])&lt;8, INT(RequestStats[[#This Row],[Creación]])+8/24, IF(HOUR(RequestStats[[#This Row],[Creación]])&gt;=16, WORKDAY(INT(RequestStats[[#This Row],[Creación]]),1)+8/24,RequestStats[[#This Row],[Creación]]))</calculatedColumnFormula>
    </tableColumn>
    <tableColumn id="6" name="TiempoLaboralEfectivo" dataDxfId="124">
      <calculatedColumnFormula array="1">_xlfn.LET(
    _xlpm.inicio, G2,
    _xlpm.fin, D2,
    _xlpm.fechaInicio, INT(_xlpm.inicio),
    _xlpm.fechaFin, INT(_xlpm.fin),
    _xlpm.horaInicio, _xlpm.inicio - _xlpm.fechaInicio,
    _xlpm.horaFin, _xlpm.fin - _xlpm.fechaFin,
    _xlpm.inicioLaboral, 8/24,
    _xlpm.finLaboral, 17/24,
    _xlpm.horasLaboralesPorDia, 9/24,
    _xlpm.tiempoPrimerDia, MAX(0, MIN(_xlpm.finLaboral, IF(_xlpm.fechaInicio=_xlpm.fechaFin, _xlpm.horaFin, _xlpm.finLaboral)) - MAX(_xlpm.inicioLaboral, _xlpm.horaInicio)),
    _xlpm.tiempoUltimoDia, IF(_xlpm.fechaInicio=_xlpm.fechaFin, 0, MAX(0, MIN(_xlpm.finLaboral, _xlpm.horaFin) - _xlpm.inicioLaboral)),
    _xlpm.diasIntermedios, MAX(0, NETWORKDAYS(_xlpm.fechaInicio+1, _xlpm.fechaFin-1)),
    _xlpm.tiempoTotal, _xlpm.diasIntermedios*_xlpm.horasLaboralesPorDia + _xlpm.tiempoPrimerDia + _xlpm.tiempoUltimoDia,
    _xlpm.tiempoTotal
)</calculatedColumnFormula>
    </tableColumn>
    <tableColumn id="10" name="Calificación" dataDxfId="123">
      <calculatedColumnFormula>IF(RequestStats[[#This Row],[TiempoLaboralEfectivo]]&lt;=0.0833333, "A tiempo", "Fuera de tiempo")</calculatedColumnFormula>
    </tableColumn>
    <tableColumn id="7" name="Trimestre" dataDxfId="122">
      <calculatedColumnFormula>IF(AND(RequestStats[[#This Row],[Creación]]&gt;=DATE(2026,1,1),RequestStats[[#This Row],[Creación]]&lt;DATE(2026,4,1)),"T1",
IF(AND(RequestStats[[#This Row],[Creación]]&gt;=DATE(2026,4,1),RequestStats[[#This Row],[Creación]]&lt;DATE(2026,7,1)),"T2",
IF(AND(RequestStats[[#This Row],[Creación]]&gt;=DATE(2026,7,1),RequestStats[[#This Row],[Creación]]&lt;DATE(2026,10,1)),"T3",
IF(AND(RequestStats[[#This Row],[Creación]]&gt;=DATE(2026,10,1),RequestStats[[#This Row],[Creación]]&lt;DATE(2027,1,1)),"T4","Fuera de rango"))))</calculatedColumnFormula>
    </tableColumn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Interacciones" displayName="Interacciones" ref="A1:H2" headerRowCount="1" totalsRowShown="0" headerRowDxfId="121">
  <autoFilter ref="A1:H2175"/>
  <tableColumns count="8">
    <tableColumn id="1" name="ID"/>
    <tableColumn id="2" name="Solicitud"/>
    <tableColumn id="3" name="Creación" dataDxfId="120"/>
    <tableColumn id="4" name="Respuesta" dataDxfId="119"/>
    <tableColumn id="5" name="Gestor"/>
    <tableColumn id="6" name="Estado"/>
    <tableColumn id="7" name="Condición"/>
    <tableColumn id="8" name="Situación solicitud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Prestamo" displayName="Prestamo" ref="A1:N2" headerRowCount="1" totalsRowShown="0" headerRowDxfId="118" dataDxfId="117" headerRowBorderDxfId="115" tableBorderDxfId="116" totalsRowBorderDxfId="114">
  <autoFilter ref="A1:N166"/>
  <tableColumns count="14">
    <tableColumn id="1" name="ID" dataDxfId="113"/>
    <tableColumn id="2" name="Creado por" dataDxfId="112"/>
    <tableColumn id="3" name="Creado" dataDxfId="111"/>
    <tableColumn id="4" name="Area" dataDxfId="110"/>
    <tableColumn id="5" name="Solicitud" dataDxfId="109"/>
    <tableColumn id="6" name="Tipo de Documento" dataDxfId="108"/>
    <tableColumn id="7" name="Cantidad de Documentos" dataDxfId="107"/>
    <tableColumn id="8" name="Cantidad de cajas" dataDxfId="106"/>
    <tableColumn id="9" name="Comentarios" dataDxfId="105"/>
    <tableColumn id="10" name="Estado" dataDxfId="104"/>
    <tableColumn id="11" name="Situación Solicitud" dataDxfId="103"/>
    <tableColumn id="12" name="Condición Aprobación" dataDxfId="102"/>
    <tableColumn id="13" name="Copiar a:" dataDxfId="101"/>
    <tableColumn id="14" name="Título" dataDxfId="10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opiaDigital" displayName="CopiaDigital" ref="A1:N2" headerRowCount="1" totalsRowShown="0" headerRowDxfId="99" headerRowBorderDxfId="97" tableBorderDxfId="98" totalsRowBorderDxfId="96">
  <autoFilter ref="A1:N871"/>
  <tableColumns count="14">
    <tableColumn id="1" name="ID" dataDxfId="95"/>
    <tableColumn id="2" name="Creado por" dataDxfId="94"/>
    <tableColumn id="3" name="Creado" dataDxfId="93"/>
    <tableColumn id="4" name="Area" dataDxfId="92"/>
    <tableColumn id="5" name="Solicitud" dataDxfId="91"/>
    <tableColumn id="6" name="RNC o Cédula " dataDxfId="90"/>
    <tableColumn id="7" name="Razón Social o Nombre comercial" dataDxfId="89"/>
    <tableColumn id="8" name="Tipo de Documento" dataDxfId="88"/>
    <tableColumn id="9" name="Área de origen del documento" dataDxfId="87"/>
    <tableColumn id="10" name="Fecha del documento"/>
    <tableColumn id="11" name="Cantidad de Documentos" dataDxfId="86"/>
    <tableColumn id="12" name="Motivo de la solicitud" dataDxfId="85"/>
    <tableColumn id="13" name="Copiar a:" dataDxfId="84"/>
    <tableColumn id="14" name="Documento solicitado" dataDxfId="83" dataCellStyle="Hyperlin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olicitudesLaFeria" displayName="SolicitudesLaFeria" ref="A1:N2" headerRowCount="1" totalsRowShown="0">
  <autoFilter ref="A1:N26"/>
  <tableColumns count="14">
    <tableColumn id="1" name="ID" dataDxfId="82"/>
    <tableColumn id="2" name="Creado" dataDxfId="81"/>
    <tableColumn id="3" name="RNC / Cédula" dataDxfId="80"/>
    <tableColumn id="4" name="Nombre o Razón Social" dataDxfId="79"/>
    <tableColumn id="5" name="Tipo de Contribuyente" dataDxfId="78"/>
    <tableColumn id="6" name="Asunto / Trámite" dataDxfId="77"/>
    <tableColumn id="7" name="Fecha del documento" dataDxfId="76"/>
    <tableColumn id="8" name="Fecha de recepción" dataDxfId="75"/>
    <tableColumn id="9" name="Tipo de Solicitud" dataDxfId="74"/>
    <tableColumn id="10" name="Solicitante" dataDxfId="73"/>
    <tableColumn id="11" name="Estado" dataDxfId="72"/>
    <tableColumn id="12" name="Condición" dataDxfId="71"/>
    <tableColumn id="13" name="Modificado" dataDxfId="70"/>
    <tableColumn id="14" name="Modificado por" dataDxfId="69"/>
  </tableColumns>
  <tableStyleInfo name="TableStyleMedium18" showFirstColumn="0" showLastColumn="0" showRowStripes="1" showColumnStripes="0"/>
</table>
</file>

<file path=xl/tables/table16.xml><?xml version="1.0" encoding="utf-8"?>
<table xmlns="http://schemas.openxmlformats.org/spreadsheetml/2006/main" id="16" name="InteraccionesLaFeria" displayName="InteraccionesLaFeria" ref="A1:N2" headerRowCount="1" totalsRowShown="0">
  <autoFilter ref="A1:N65"/>
  <tableColumns count="14">
    <tableColumn id="1" name="ID" dataDxfId="68"/>
    <tableColumn id="2" name="Creado" dataDxfId="67"/>
    <tableColumn id="3" name="RNC / Cédula" dataDxfId="66"/>
    <tableColumn id="4" name="Nombre o Razón Social" dataDxfId="65"/>
    <tableColumn id="5" name="Tipo de Contribuyente" dataDxfId="64"/>
    <tableColumn id="6" name="Asunto / Trámite" dataDxfId="63"/>
    <tableColumn id="7" name="Fecha del documento" dataDxfId="62"/>
    <tableColumn id="8" name="Fecha de recepción" dataDxfId="61"/>
    <tableColumn id="9" name="Tipo de Solicitud" dataDxfId="60"/>
    <tableColumn id="10" name="Solicitante" dataDxfId="59"/>
    <tableColumn id="11" name="Estado" dataDxfId="58"/>
    <tableColumn id="12" name="Condición" dataDxfId="57"/>
    <tableColumn id="13" name="Modificado" dataDxfId="56"/>
    <tableColumn id="14" name="Modificado por" dataDxfId="55"/>
  </tableColumns>
  <tableStyleInfo name="TableStyleMedium18" showFirstColumn="0" showLastColumn="0" showRowStripes="1" showColumnStripes="0"/>
</table>
</file>

<file path=xl/tables/table17.xml><?xml version="1.0" encoding="utf-8"?>
<table xmlns="http://schemas.openxmlformats.org/spreadsheetml/2006/main" id="17" name="ConteoAGAutomatizado" displayName="ConteoAGAutomatizado" ref="A2:C3" headerRowCount="1" totalsRowShown="0" headerRowDxfId="54" dataDxfId="53" headerRowBorderDxfId="51" tableBorderDxfId="52" totalsRowBorderDxfId="50">
  <autoFilter ref="A2:C13"/>
  <tableColumns count="3">
    <tableColumn id="1" name="NO" dataDxfId="49"/>
    <tableColumn id="2" name="ARCHIVO DE GESTIÓN" dataDxfId="48"/>
    <tableColumn id="3" name="DIGITALIZACIÓN DE DOCUMENTOS" dataDxfId="47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18" name="Calculodetiempo15" displayName="Calculodetiempo15" ref="C2:G3" headerRowCount="1" totalsRowShown="0">
  <autoFilter ref="C2:G3"/>
  <tableColumns count="5">
    <tableColumn id="3" name="A tiempo" dataDxfId="46">
      <calculatedColumnFormula>COUNTIF('RequestStats'!H:H, "&lt;00:59:59")</calculatedColumnFormula>
    </tableColumn>
    <tableColumn id="1" name="Fuera de tiempo">
      <calculatedColumnFormula>COUNTIF('RequestStats'!H:H, "&gt;00:59:59")</calculatedColumnFormula>
    </tableColumn>
    <tableColumn id="2" name="Promedio Tiempo de respuesta">
      <calculatedColumnFormula>AVERAGE('RequestStats 2025'!H:H)</calculatedColumnFormula>
    </tableColumn>
    <tableColumn id="4" name="Dentro del horario" dataDxfId="45">
      <calculatedColumnFormula>COUNTIF('RequestStats'!F:F, "Dentro del horario")</calculatedColumnFormula>
    </tableColumn>
    <tableColumn id="5" name="Fuera de horario">
      <calculatedColumnFormula>COUNTIF('RequestStats'!F:F, "Fuera de horario")</calculatedColumnFormula>
    </tableColumn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Calculodetiempo417" displayName="Calculodetiempo417" ref="C64:G65" headerRowCount="1" totalsRowShown="0">
  <autoFilter ref="C64:G65"/>
  <tableColumns count="5">
    <tableColumn id="3" name="A tiempo" dataDxfId="44">
      <calculatedColumnFormula>COUNTIFS('RequestStats'!H:H, "&lt;=00:59:59", 'RequestStats'!C:C, "&gt;=" &amp; DATE(2025,1,1), 'RequestStats'!C:C, "&lt;=" &amp; DATE(2025,3,31))</calculatedColumnFormula>
    </tableColumn>
    <tableColumn id="1" name="Fuera de tiempo">
      <calculatedColumnFormula>COUNTIFS('RequestStats'!H:H, "&gt;00:60:00", 'RequestStats'!C:C, "&gt;=" &amp; DATE(2025,1,1), 'RequestStats'!C:C, "&lt;=" &amp; DATE(2025,3,31))</calculatedColumnFormula>
    </tableColumn>
    <tableColumn id="2" name="Promedio Tiempo de respuesta" dataDxfId="43">
      <calculatedColumnFormula>AVERAGEIFS('RequestStats'!H:H,'RequestStats'!C:C, "&lt;=" &amp; DATE(2025,3,31), 'RequestStats'!C:C, "&gt;=" &amp; DATE(2025,1,1))</calculatedColumnFormula>
    </tableColumn>
    <tableColumn id="4" name="Dentro del horario" dataDxfId="42">
      <calculatedColumnFormula>COUNTIFS('RequestStats'!C:C, "&gt;=" &amp; DATE(2025,1,1), 'RequestStats'!C:C, "&lt;=" &amp; DATE(2025,3,31), 'RequestStats'!F:F, "Dentro del Horario")</calculatedColumnFormula>
    </tableColumn>
    <tableColumn id="5" name="Fuera de horario">
      <calculatedColumnFormula>COUNTIFS('RequestStats'!C:C, "&gt;=" &amp; DATE(2025,1,1), 'RequestStats'!C:C, "&lt;=" &amp; DATE(2025,3,31), 'RequestStats'!F:F, "Fuera de Horario")</calculatedColumnFormula>
    </tableColumn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id="20" name="Calculodetiempo4518" displayName="Calculodetiempo4518" ref="C88:G89" headerRowCount="1" totalsRowShown="0">
  <autoFilter ref="C88:G89"/>
  <tableColumns count="5">
    <tableColumn id="3" name="A tiempo" dataDxfId="41">
      <calculatedColumnFormula>COUNTIFS('RequestStats'!H:H, "&lt;=00:59:59", 'RequestStats'!C:C, "&gt;=" &amp; DATE(2025,4,1), 'RequestStats'!C:C, "&lt;=" &amp; DATE(2025,6,31))</calculatedColumnFormula>
    </tableColumn>
    <tableColumn id="1" name="Fuera de tiempo">
      <calculatedColumnFormula>COUNTIFS('RequestStats'!H:H, "&gt;=00:60:00", 'RequestStats'!C:C, "&gt;=" &amp; DATE(2025,4,1), 'RequestStats'!C:C, "&lt;=" &amp; DATE(2025,6,31))</calculatedColumnFormula>
    </tableColumn>
    <tableColumn id="2" name="Promedio Tiempo de respuesta" dataDxfId="40">
      <calculatedColumnFormula>AVERAGEIFS('RequestStats'!H:H, 'RequestStats'!C:C, "&gt;=" &amp; DATE(2025,4,1), 'RequestStats'!C:C, "&lt;=" &amp; DATE(2025,6,31))</calculatedColumnFormula>
    </tableColumn>
    <tableColumn id="4" name="Dentro del horario" dataDxfId="39">
      <calculatedColumnFormula>COUNTIFS('RequestStats'!C:C, "&gt;=" &amp; DATE(2025,4,1), 'RequestStats'!C:C, "&lt;=" &amp; DATE(2025,6,31), 'RequestStats'!F:F, "Dentro del Horario")</calculatedColumnFormula>
    </tableColumn>
    <tableColumn id="5" name="Fuera de horario">
      <calculatedColumnFormula>COUNTIFS('RequestStats'!C:C, "&gt;=" &amp; DATE(2025,4,1), 'RequestStats'!C:C, "&lt;=" &amp; DATE(2025,6,31), 'RequestStats'!F:F, "Fuera de Horario")</calculatedColumnFormula>
    </tableColumn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Calculodetiempo45719" displayName="Calculodetiempo45719" ref="C114:G115" headerRowCount="1" totalsRowShown="0">
  <autoFilter ref="C114:G115"/>
  <tableColumns count="5">
    <tableColumn id="3" name="A tiempo" dataDxfId="38">
      <calculatedColumnFormula>COUNTIFS('RequestStats'!H:H, "&lt;=01:59:59", 'RequestStats'!C:C, "&gt;=" &amp; DATE(2025,7,1), 'RequestStats'!C:C, "&lt;=" &amp; DATE(2025,9,31))</calculatedColumnFormula>
    </tableColumn>
    <tableColumn id="1" name="Fuera de tiempo">
      <calculatedColumnFormula>COUNTIFS('RequestStats'!H:H, "&gt;=02:00:00", 'RequestStats'!C:C, "&gt;=" &amp; DATE(2025,7,1), 'RequestStats'!C:C, "&lt;=" &amp; DATE(2025,9,31))</calculatedColumnFormula>
    </tableColumn>
    <tableColumn id="2" name="Promedio Tiempo de respuesta" dataDxfId="37">
      <calculatedColumnFormula>AVERAGEIFS('RequestStats'!H:H, 'RequestStats'!C:C, "&gt;=" &amp; DATE(2025,7,1), 'RequestStats'!C:C, "&lt;=" &amp; DATE(2025,9,30))</calculatedColumnFormula>
    </tableColumn>
    <tableColumn id="4" name="Dentro del horario" dataDxfId="36">
      <calculatedColumnFormula>COUNTIFS('RequestStats'!C:C, "&gt;=" &amp; DATE(2025,7,1), 'RequestStats'!C:C, "&lt;=" &amp; DATE(2025,9,31), 'RequestStats'!F:F, "Dentro del Horario")</calculatedColumnFormula>
    </tableColumn>
    <tableColumn id="5" name="Fuera de horario">
      <calculatedColumnFormula>COUNTIFS('RequestStats'!C:C, "&gt;=" &amp; DATE(2025,7,1), 'RequestStats'!C:C, "&lt;=" &amp; DATE(2025,9,31), 'RequestStats'!F:F, "Fuera de Horario")</calculatedColumnFormula>
    </tableColumn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abla7920" displayName="Tabla7920" ref="H67:L71" headerRowCount="1" totalsRowShown="0">
  <autoFilter ref="H67:L71"/>
  <tableColumns count="5">
    <tableColumn id="1" name="Gestores"/>
    <tableColumn id="2" name="Total" dataDxfId="35">
      <calculatedColumnFormula>COUNTIFS('RequestStats'!E:E,Tabla7920[[#This Row],[Gestores]], 'RequestStats'!C:C, "&gt;=" &amp; DATE(2025,1,1), 'RequestStats'!C:C, "&lt;=" &amp; DATE(2025,3,31))</calculatedColumnFormula>
    </tableColumn>
    <tableColumn id="3" name="A tiempo" dataDxfId="34">
      <calculatedColumnFormula>COUNTIFS('RequestStats'!I:I, "A tiempo", 'RequestStats'!E:E,'Metricas 2025'!H68, RequestStats!C:C, "&gt;=" &amp; DATE(2025,1,1), RequestStats!C:C, "&lt;=" &amp; DATE(2025,3,31))</calculatedColumnFormula>
    </tableColumn>
    <tableColumn id="4" name="Fuera de tiempo" dataDxfId="33">
      <calculatedColumnFormula>COUNTIFS('RequestStats'!I:I, "Fuera de tiempo", 'RequestStats'!E:E,'Metricas 2025'!H68, RequestStats!C:C, "&gt;=" &amp; DATE(2025,1,1), RequestStats!C:C, "&lt;=" &amp; DATE(2025,3,31))</calculatedColumnFormula>
    </tableColumn>
    <tableColumn id="5" name="Promedio" dataDxfId="32">
      <calculatedColumnFormula>AVERAGEIFS('RequestStats'!H:H, 'RequestStats'!C:C, "&gt;=" &amp; DATE(2025,1,1), 'RequestStats'!C:C, "&lt;=" &amp; DATE(2025,3,31), 'RequestStats'!E:E, Tabla7920[[#This Row],[Gestores]])</calculatedColumnFormula>
    </tableColumn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abla7111221" displayName="Tabla7111221" ref="H117:L124" headerRowCount="1" totalsRowShown="0">
  <autoFilter ref="H117:L124"/>
  <tableColumns count="5">
    <tableColumn id="1" name="Gestores"/>
    <tableColumn id="2" name="Total" dataDxfId="31">
      <calculatedColumnFormula>COUNTIFS('RequestStats'!E:E,Tabla7111221[[#This Row],[Gestores]], 'RequestStats'!C:C, "&gt;=" &amp; DATE(2025,7,1), 'RequestStats'!C:C, "&lt;=" &amp; DATE(2025,9,31))</calculatedColumnFormula>
    </tableColumn>
    <tableColumn id="3" name="A tiempo" dataDxfId="30">
      <calculatedColumnFormula>COUNTIFS('RequestStats'!I:I, "A tiempo", 'RequestStats'!E:E,Tabla7111221[[#This Row],[Gestores]], 'RequestStats'!C:C, "&gt;=" &amp; DATE(2025,7,1), 'RequestStats'!C:C, "&lt;=" &amp; DATE(2025,9,31))</calculatedColumnFormula>
    </tableColumn>
    <tableColumn id="4" name="Fuera de tiempo" dataDxfId="29">
      <calculatedColumnFormula>COUNTIFS('RequestStats'!I:I, "Fuera de tiempo", 'RequestStats'!E:E,Tabla7111221[[#This Row],[Gestores]], 'RequestStats'!C:C, "&gt;=" &amp; DATE(2025,7,1), 'RequestStats'!C:C, "&lt;=" &amp; DATE(2025,9,31))</calculatedColumnFormula>
    </tableColumn>
    <tableColumn id="5" name="Promedio" dataDxfId="28">
      <calculatedColumnFormula>AVERAGEIFS('RequestStats'!H:H, 'RequestStats'!C:C, "&gt;=" &amp; DATE(2025,7,1), 'RequestStats'!C:C, "&lt;=" &amp; DATE(2025,9,31), 'RequestStats'!E:E, Tabla7111221[[#This Row],[Gestores]])</calculatedColumnFormula>
    </tableColumn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id="24" name="Tabla711121122" displayName="Tabla711121122" ref="H91:L97" headerRowCount="1" totalsRowShown="0">
  <autoFilter ref="H91:L97"/>
  <tableColumns count="5">
    <tableColumn id="1" name="Gestores"/>
    <tableColumn id="2" name="Total" dataDxfId="27">
      <calculatedColumnFormula>COUNTIFS('RequestStats'!E:E,Tabla711121122[[#This Row],[Gestores]], 'RequestStats'!C:C, "&gt;=" &amp; DATE(2025,4,1), 'RequestStats'!C:C, "&lt;=" &amp; DATE(2025,6,31))</calculatedColumnFormula>
    </tableColumn>
    <tableColumn id="3" name="A tiempo" dataDxfId="26">
      <calculatedColumnFormula>COUNTIFS('RequestStats'!I:I, "A tiempo", 'RequestStats'!E:E,Tabla711121122[[#This Row],[Gestores]], 'RequestStats'!C:C, "&gt;=" &amp; DATE(2025,4,1), 'RequestStats'!C:C, "&lt;=" &amp; DATE(2025,6,31))</calculatedColumnFormula>
    </tableColumn>
    <tableColumn id="4" name="Fuera de tiempo" dataDxfId="25">
      <calculatedColumnFormula>COUNTIFS('RequestStats'!I:I, "Fuera de tiempo", 'RequestStats'!E:E,Tabla711121122[[#This Row],[Gestores]], 'RequestStats'!C:C, "&gt;=" &amp; DATE(2025,4,1), 'RequestStats'!C:C, "&lt;=" &amp; DATE(2025,6,31))</calculatedColumnFormula>
    </tableColumn>
    <tableColumn id="5" name="Promedio" dataDxfId="24">
      <calculatedColumnFormula>AVERAGEIFS('RequestStats'!H:H, 'RequestStats'!C:C, "&gt;=" &amp; DATE(2025,4,1), 'RequestStats'!C:C, "&lt;=" &amp; DATE(2025,6,31), 'RequestStats'!E:E, Tabla711121122[[#This Row],[Gestores]])</calculatedColumnFormula>
    </tableColumn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id="25" name="Tabla711121323" displayName="Tabla711121323" ref="H144:L153" headerRowCount="1" totalsRowShown="0">
  <autoFilter ref="H144:L153"/>
  <tableColumns count="5">
    <tableColumn id="1" name="Gestores"/>
    <tableColumn id="2" name="Total" dataDxfId="23">
      <calculatedColumnFormula>COUNTIFS('RequestStats'!E:E,Tabla711121323[[#This Row],[Gestores]], 'RequestStats'!C:C, "&gt;=" &amp; DATE(2025,10,1), 'RequestStats'!C:C, "&lt;=" &amp; DATE(2025,12,31))</calculatedColumnFormula>
    </tableColumn>
    <tableColumn id="3" name="A tiempo" dataDxfId="22">
      <calculatedColumnFormula>COUNTIFS('RequestStats'!I:I, "A tiempo", 'RequestStats'!E:E,Tabla711121323[[#This Row],[Gestores]], 'RequestStats'!C:C, "&gt;=" &amp; DATE(2025,10,1), 'RequestStats'!C:C, "&lt;=" &amp; DATE(2025,12,31))</calculatedColumnFormula>
    </tableColumn>
    <tableColumn id="4" name="Fuera de tiempo" dataDxfId="21">
      <calculatedColumnFormula>COUNTIFS('RequestStats'!I:I, "Fuera de tiempo", 'RequestStats'!E:E,Tabla711121323[[#This Row],[Gestores]], 'RequestStats'!C:C, "&gt;=" &amp; DATE(2025,10,1), 'RequestStats'!C:C, "&lt;=" &amp; DATE(2025,12,31))</calculatedColumnFormula>
    </tableColumn>
    <tableColumn id="5" name="Promedio" dataDxfId="20">
      <calculatedColumnFormula>AVERAGEIFS('RequestStats'!H:H, 'RequestStats'!C:C, "&gt;=" &amp; DATE(2025,10,1), 'RequestStats'!C:C, "&lt;=" &amp; DATE(2025,12,31), 'RequestStats'!E:E, Tabla711121323[[#This Row],[Gestores]])</calculatedColumnFormula>
    </tableColumn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id="26" name="Calculodetiempo4571424" displayName="Calculodetiempo4571424" ref="C141:G142" headerRowCount="1" totalsRowShown="0">
  <autoFilter ref="C141:G142"/>
  <tableColumns count="5">
    <tableColumn id="3" name="A tiempo" dataDxfId="19">
      <calculatedColumnFormula>COUNTIFS('RequestStats'!H:H, "&lt;=01:59:59", 'RequestStats'!C:C, "&gt;=" &amp; DATE(2025,10,1), 'RequestStats'!C:C, "&lt;=" &amp; DATE(2025,12,31))</calculatedColumnFormula>
    </tableColumn>
    <tableColumn id="1" name="Fuera de tiempo">
      <calculatedColumnFormula>COUNTIFS('RequestStats'!H:H, "&gt;=02:00:00", 'RequestStats'!C:C, "&gt;=" &amp; DATE(2025,10,1), 'RequestStats'!C:C, "&lt;=" &amp; DATE(2025,12,31))</calculatedColumnFormula>
    </tableColumn>
    <tableColumn id="2" name="Promedio Tiempo de respuesta" dataDxfId="18">
      <calculatedColumnFormula>AVERAGEIFS('RequestStats'!H:H, 'RequestStats'!C:C, "&gt;=" &amp; DATE(2025,10,1), 'RequestStats'!C:C, "&lt;=" &amp; DATE(2025,12,31))</calculatedColumnFormula>
    </tableColumn>
    <tableColumn id="4" name="Dentro del horario" dataDxfId="17">
      <calculatedColumnFormula>COUNTIFS('RequestStats'!C:C, "&gt;=" &amp; DATE(2025,10,1), 'RequestStats'!C:C, "&lt;=" &amp; DATE(2025,12,31), 'RequestStats'!F:F, "Dentro del Horario")</calculatedColumnFormula>
    </tableColumn>
    <tableColumn id="5" name="Fuera de horario">
      <calculatedColumnFormula>COUNTIFS('RequestStats'!C:C, "&gt;=" &amp; DATE(2025,10,1), 'RequestStats'!C:C, "&lt;=" &amp; DATE(2025,12,31), 'RequestStats'!F:F, "Fuera de Horario")</calculatedColumnFormula>
    </tableColumn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id="27" name="Tabla7151625" displayName="Tabla7151625" ref="H5:L13" headerRowCount="1" totalsRowShown="0">
  <autoFilter ref="H5:L13"/>
  <tableColumns count="5">
    <tableColumn id="1" name="Gestores"/>
    <tableColumn id="2" name="Total">
      <calculatedColumnFormula>COUNTIF('RequestStats'!D:D,'Metricas 2025'!H6)</calculatedColumnFormula>
    </tableColumn>
    <tableColumn id="3" name="A tiempo">
      <calculatedColumnFormula>COUNTIFS('RequestStats'!H:H, "A tiempo", 'RequestStats'!D:D,'Metricas 2025'!H6)</calculatedColumnFormula>
    </tableColumn>
    <tableColumn id="4" name="Fuera de tiempo">
      <calculatedColumnFormula>COUNTIFS('RequestStats'!H:H, "Fuera de tiempo", 'RequestStats'!D:D,'Metricas 2025'!H6)</calculatedColumnFormula>
    </tableColumn>
    <tableColumn id="5" name="Promedio" dataDxfId="16">
      <calculatedColumnFormula>AVERAGEIFS('RequestStats'!G:G, 'RequestStats'!B:B, "&gt;=" &amp; DATE(2025,1,1), 'RequestStats'!B:B, "&lt;=" &amp; DATE(2025,12,31), 'RequestStats'!D:D, Tabla7151625[[#This Row],[Gestores]])</calculatedColumnFormula>
    </tableColumn>
  </tableColumns>
  <tableStyleInfo name="TableStyleMedium4" showFirstColumn="0" showLastColumn="0" showRowStripes="1" showColumnStripes="0"/>
</table>
</file>

<file path=xl/tables/table28.xml><?xml version="1.0" encoding="utf-8"?>
<table xmlns="http://schemas.openxmlformats.org/spreadsheetml/2006/main" id="28" name="RequestStats8" displayName="RequestStats8" ref="A1:J2" headerRowCount="1" totalsRowShown="0" headerRowDxfId="12">
  <autoFilter ref="A1:J625"/>
  <tableColumns count="10">
    <tableColumn id="1" name="ID"/>
    <tableColumn id="2" name="Solicitud"/>
    <tableColumn id="3" name="Creación" dataDxfId="11"/>
    <tableColumn id="4" name="Respuesta" dataDxfId="10"/>
    <tableColumn id="5" name="Gestor"/>
    <tableColumn id="9" name="Prudencia" dataDxfId="9">
      <calculatedColumnFormula>IF(OR(HOUR(RequestStats8[[#This Row],[Creación]])&lt;8, HOUR(RequestStats8[[#This Row],[Creación]])&gt;=16), "Fuera de horario", "Dentro del horario")</calculatedColumnFormula>
    </tableColumn>
    <tableColumn id="11" name="ValidaciónCreación" dataDxfId="8">
      <calculatedColumnFormula>IF(HOUR(RequestStats8[[#This Row],[Creación]])&lt;8, INT(RequestStats8[[#This Row],[Creación]])+8/24, IF(HOUR(RequestStats8[[#This Row],[Creación]])&gt;=16, WORKDAY(INT(RequestStats8[[#This Row],[Creación]]),1)+8/24,RequestStats8[[#This Row],[Creación]]))</calculatedColumnFormula>
    </tableColumn>
    <tableColumn id="6" name="TiempoLaboralEfectivo" dataDxfId="7">
      <calculatedColumnFormula array="1">_xlfn.LET(
    _xlpm.inicio, G2,
    _xlpm.fin, D2,
    _xlpm.fechaInicio, INT(_xlpm.inicio),
    _xlpm.fechaFin, INT(_xlpm.fin),
    _xlpm.horaInicio, _xlpm.inicio - _xlpm.fechaInicio,
    _xlpm.horaFin, _xlpm.fin - _xlpm.fechaFin,
    _xlpm.inicioLaboral, 8/24,
    _xlpm.finLaboral, 17/24,
    _xlpm.horasLaboralesPorDia, 9/24,
    _xlpm.tiempoPrimerDia, MAX(0, MIN(_xlpm.finLaboral, IF(_xlpm.fechaInicio=_xlpm.fechaFin, _xlpm.horaFin, _xlpm.finLaboral)) - MAX(_xlpm.inicioLaboral, _xlpm.horaInicio)),
    _xlpm.tiempoUltimoDia, IF(_xlpm.fechaInicio=_xlpm.fechaFin, 0, MAX(0, MIN(_xlpm.finLaboral, _xlpm.horaFin) - _xlpm.inicioLaboral)),
    _xlpm.diasIntermedios, MAX(0, NETWORKDAYS(_xlpm.fechaInicio+1, _xlpm.fechaFin-1)),
    _xlpm.tiempoTotal, _xlpm.diasIntermedios*_xlpm.horasLaboralesPorDia + _xlpm.tiempoPrimerDia + _xlpm.tiempoUltimoDia,
    _xlpm.tiempoTotal
)</calculatedColumnFormula>
    </tableColumn>
    <tableColumn id="10" name="Calificación" dataDxfId="6">
      <calculatedColumnFormula>IF(RequestStats8[[#This Row],[TiempoLaboralEfectivo]]&lt;=0.04167, "A tiempo", "Fuera de tiempo")</calculatedColumnFormula>
    </tableColumn>
    <tableColumn id="7" name="Trimestre" dataDxfId="5">
      <calculatedColumnFormula>IF(AND(RequestStats8[[#This Row],[Creación]]&gt;=DATE(2025,1,1),RequestStats8[[#This Row],[Creación]]&lt;=DATE(2025,3,31)),"T1",
IF(AND(RequestStats8[[#This Row],[Creación]]&gt;=DATE(2025,4,1),RequestStats8[[#This Row],[Creación]]&lt;=DATE(2025,6,31)),"T2",
IF(AND(RequestStats8[[#This Row],[Creación]]&gt;=DATE(2025,7,1),RequestStats8[[#This Row],[Creación]]&lt;=DATE(2025,9,30)),"T3",
IF(AND(RequestStats8[[#This Row],[Creación]]&gt;=DATE(2025,10,1),RequestStats8[[#This Row],[Creación]]&lt;=DATE(2025,12,31)),"T4","Fuera de rango"))))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Relationship Type="http://schemas.openxmlformats.org/officeDocument/2006/relationships/table" Target="/xl/tables/table6.xml" Id="rId7"/><Relationship Type="http://schemas.openxmlformats.org/officeDocument/2006/relationships/table" Target="/xl/tables/table7.xml" Id="rId8"/><Relationship Type="http://schemas.openxmlformats.org/officeDocument/2006/relationships/table" Target="/xl/tables/table8.xml" Id="rId9"/><Relationship Type="http://schemas.openxmlformats.org/officeDocument/2006/relationships/table" Target="/xl/tables/table9.xml" Id="rId10"/><Relationship Type="http://schemas.openxmlformats.org/officeDocument/2006/relationships/table" Target="/xl/tables/table10.xml" Id="rId1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Relationship Type="http://schemas.openxmlformats.org/officeDocument/2006/relationships/table" Target="/xl/tables/table20.xml" Id="rId4"/><Relationship Type="http://schemas.openxmlformats.org/officeDocument/2006/relationships/table" Target="/xl/tables/table21.xml" Id="rId5"/><Relationship Type="http://schemas.openxmlformats.org/officeDocument/2006/relationships/table" Target="/xl/tables/table22.xml" Id="rId6"/><Relationship Type="http://schemas.openxmlformats.org/officeDocument/2006/relationships/table" Target="/xl/tables/table23.xml" Id="rId7"/><Relationship Type="http://schemas.openxmlformats.org/officeDocument/2006/relationships/table" Target="/xl/tables/table24.xml" Id="rId8"/><Relationship Type="http://schemas.openxmlformats.org/officeDocument/2006/relationships/table" Target="/xl/tables/table25.xml" Id="rId9"/><Relationship Type="http://schemas.openxmlformats.org/officeDocument/2006/relationships/table" Target="/xl/tables/table26.xml" Id="rId10"/><Relationship Type="http://schemas.openxmlformats.org/officeDocument/2006/relationships/table" Target="/xl/tables/table27.xml" Id="rId11"/><Relationship Type="http://schemas.openxmlformats.org/officeDocument/2006/relationships/pivotTable" Target="/xl/pivotTables/pivotTable1.xml" Id="rId1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C1:R304"/>
  <sheetViews>
    <sheetView tabSelected="1" topLeftCell="A246" workbookViewId="0">
      <selection activeCell="G129" sqref="G129:G136"/>
    </sheetView>
  </sheetViews>
  <sheetFormatPr baseColWidth="8" defaultRowHeight="15"/>
  <cols>
    <col width="9.140625" customWidth="1" style="55" min="1" max="1"/>
    <col width="8.7109375" customWidth="1" style="55" min="2" max="2"/>
    <col width="18.85546875" customWidth="1" style="55" min="3" max="3"/>
    <col width="23.7109375" bestFit="1" customWidth="1" style="55" min="4" max="4"/>
    <col width="15.7109375" customWidth="1" style="55" min="5" max="5"/>
    <col width="12.5703125" customWidth="1" style="55" min="6" max="6"/>
    <col width="22.42578125" customWidth="1" style="55" min="7" max="7"/>
    <col width="26" bestFit="1" customWidth="1" style="55" min="8" max="8"/>
    <col width="24.42578125" customWidth="1" style="55" min="9" max="9"/>
    <col width="14.140625" customWidth="1" style="55" min="10" max="10"/>
    <col width="17.85546875" bestFit="1" customWidth="1" style="55" min="11" max="12"/>
    <col width="13.28515625" customWidth="1" style="55" min="13" max="13"/>
    <col width="11.28515625" customWidth="1" style="55" min="14" max="14"/>
    <col width="9.140625" customWidth="1" style="55" min="15" max="16384"/>
  </cols>
  <sheetData>
    <row r="1" ht="37.5" customHeight="1">
      <c r="C1" s="147" t="inlineStr">
        <is>
          <t>Metricas de la Gestión Documental - 2026</t>
        </is>
      </c>
    </row>
    <row r="2">
      <c r="C2" s="156" t="inlineStr">
        <is>
          <t>Metas del  tiempo</t>
        </is>
      </c>
      <c r="D2" s="157" t="n"/>
      <c r="E2" s="158" t="n"/>
      <c r="F2" s="150" t="inlineStr">
        <is>
          <t>PRUDENCIA</t>
        </is>
      </c>
      <c r="G2" s="158" t="n"/>
      <c r="H2" t="inlineStr">
        <is>
          <t>Gestores</t>
        </is>
      </c>
      <c r="I2" t="inlineStr">
        <is>
          <t>Total</t>
        </is>
      </c>
      <c r="J2" t="inlineStr">
        <is>
          <t>A tiempo</t>
        </is>
      </c>
      <c r="K2" t="inlineStr">
        <is>
          <t>Fuera de tiempo</t>
        </is>
      </c>
      <c r="L2" t="inlineStr">
        <is>
          <t>Promedio</t>
        </is>
      </c>
    </row>
    <row r="3">
      <c r="C3" s="22" t="inlineStr">
        <is>
          <t>A tiempo</t>
        </is>
      </c>
      <c r="D3" t="inlineStr">
        <is>
          <t>Fuera de tiempo</t>
        </is>
      </c>
      <c r="E3" s="23" t="inlineStr">
        <is>
          <t>Promedio Tiempo de respuesta</t>
        </is>
      </c>
      <c r="F3" s="26" t="inlineStr">
        <is>
          <t>Dentro del horario</t>
        </is>
      </c>
      <c r="G3" s="19" t="inlineStr">
        <is>
          <t>Fuera de horario</t>
        </is>
      </c>
      <c r="H3" t="inlineStr">
        <is>
          <t>Andersson Beltre</t>
        </is>
      </c>
      <c r="I3">
        <f>COUNTIF('RequestStats'!E:E,Metricas!H3)</f>
        <v/>
      </c>
      <c r="J3">
        <f>COUNTIFS('RequestStats'!I:I, "A tiempo", 'RequestStats'!E:E,Metricas!H3)</f>
        <v/>
      </c>
      <c r="K3">
        <f>COUNTIFS('RequestStats'!I:I, "Fuera de tiempo", 'RequestStats'!E:E,Metricas!H3)</f>
        <v/>
      </c>
      <c r="L3" s="12">
        <f>AVERAGEIFS('RequestStats'!H:H, 'RequestStats'!C:C, "&gt;=" &amp; DATE(2026,1,1), 'RequestStats'!C:C, "&lt;=" &amp; DATE(2026,12,31), 'RequestStats'!E:E, Tabla71516911[[#This Row],[Gestores]])</f>
        <v/>
      </c>
    </row>
    <row r="4">
      <c r="C4" s="20">
        <f>COUNTIF('RequestStats'!H:H, "&lt;02:00:01")</f>
        <v/>
      </c>
      <c r="D4" s="24">
        <f>COUNTIF('RequestStats'!H:H, "&gt;02:00:01")</f>
        <v/>
      </c>
      <c r="E4" s="25">
        <f>AVERAGE('RequestStats'!H:H)</f>
        <v/>
      </c>
      <c r="F4" s="24">
        <f>COUNTIF('RequestStats'!F:F, "Dentro del horario")</f>
        <v/>
      </c>
      <c r="G4" s="21">
        <f>COUNTIF('RequestStats'!F:F, "Fuera de horario")</f>
        <v/>
      </c>
      <c r="H4" t="inlineStr">
        <is>
          <t>Genaro Corporan B</t>
        </is>
      </c>
      <c r="I4">
        <f>COUNTIF('RequestStats'!E:E,Metricas!H4)</f>
        <v/>
      </c>
      <c r="J4">
        <f>COUNTIFS('RequestStats'!I:I, "A tiempo", 'RequestStats'!E:E,Metricas!H4)</f>
        <v/>
      </c>
      <c r="K4">
        <f>COUNTIFS('RequestStats'!I:I, "Fuera de tiempo", 'RequestStats'!E:E,Metricas!H4)</f>
        <v/>
      </c>
      <c r="L4" s="12">
        <f>AVERAGEIFS('RequestStats'!H:H, 'RequestStats'!C:C, "&gt;=" &amp; DATE(2026,1,1), 'RequestStats'!C:C, "&lt;=" &amp; DATE(2026,12,31), 'RequestStats'!E:E, Tabla71516911[[#This Row],[Gestores]])</f>
        <v/>
      </c>
    </row>
    <row r="5" ht="15" customHeight="1">
      <c r="C5" s="36" t="inlineStr">
        <is>
          <t>2026 - Stats</t>
        </is>
      </c>
      <c r="D5" s="36" t="n"/>
      <c r="E5" s="36" t="n"/>
      <c r="F5" s="36" t="n"/>
      <c r="G5" s="145" t="inlineStr">
        <is>
          <t>Total:</t>
        </is>
      </c>
      <c r="H5" t="inlineStr">
        <is>
          <t>Julio Angel Thomas GarcIa</t>
        </is>
      </c>
      <c r="I5">
        <f>COUNTIF('RequestStats'!E:E,Metricas!H5)</f>
        <v/>
      </c>
      <c r="J5">
        <f>COUNTIFS('RequestStats'!I:I, "A tiempo", 'RequestStats'!E:E,Metricas!H5)</f>
        <v/>
      </c>
      <c r="K5">
        <f>COUNTIFS('RequestStats'!I:I, "Fuera de tiempo", 'RequestStats'!E:E,Metricas!H5)</f>
        <v/>
      </c>
      <c r="L5" s="12">
        <f>AVERAGEIFS('RequestStats'!H:H, 'RequestStats'!C:C, "&gt;=" &amp; DATE(2026,1,1), 'RequestStats'!C:C, "&lt;=" &amp; DATE(2026,12,31), 'RequestStats'!E:E, Tabla71516911[[#This Row],[Gestores]])</f>
        <v/>
      </c>
      <c r="R5" s="56" t="n"/>
    </row>
    <row r="6" ht="15" customHeight="1">
      <c r="C6" s="36" t="inlineStr">
        <is>
          <t>Cuenta de Solicitud</t>
        </is>
      </c>
      <c r="D6" s="36" t="inlineStr">
        <is>
          <t>Etiquetas de columna</t>
        </is>
      </c>
      <c r="E6" s="36" t="n"/>
      <c r="F6" s="36" t="n"/>
      <c r="H6" t="inlineStr">
        <is>
          <t>Kevin F Fernandez U</t>
        </is>
      </c>
      <c r="I6">
        <f>COUNTIF('RequestStats'!E:E,Metricas!H6)</f>
        <v/>
      </c>
      <c r="J6">
        <f>COUNTIFS('RequestStats'!I:I, "A tiempo", 'RequestStats'!E:E,Metricas!H6)</f>
        <v/>
      </c>
      <c r="K6">
        <f>COUNTIFS('RequestStats'!I:I, "Fuera de tiempo", 'RequestStats'!E:E,Metricas!H6)</f>
        <v/>
      </c>
      <c r="L6" s="12">
        <f>AVERAGEIFS('RequestStats'!H:H, 'RequestStats'!C:C, "&gt;=" &amp; DATE(2026,1,1), 'RequestStats'!C:C, "&lt;=" &amp; DATE(2026,12,31), 'RequestStats'!E:E, Tabla71516911[[#This Row],[Gestores]])</f>
        <v/>
      </c>
      <c r="R6" s="56" t="n"/>
    </row>
    <row r="7" ht="15" customHeight="1">
      <c r="C7" s="36" t="inlineStr">
        <is>
          <t>Etiquetas de fila</t>
        </is>
      </c>
      <c r="D7" s="36" t="inlineStr">
        <is>
          <t>Dentro del horario</t>
        </is>
      </c>
      <c r="E7" s="36" t="inlineStr">
        <is>
          <t>Fuera de horario</t>
        </is>
      </c>
      <c r="F7" s="36" t="inlineStr">
        <is>
          <t>Total general</t>
        </is>
      </c>
      <c r="G7" s="144">
        <f>(F10+F14)/2</f>
        <v/>
      </c>
      <c r="H7" t="inlineStr">
        <is>
          <t>Moises Antonio Laureano Mateo</t>
        </is>
      </c>
      <c r="I7">
        <f>COUNTIF('RequestStats'!E:E,Metricas!H7)</f>
        <v/>
      </c>
      <c r="J7">
        <f>COUNTIFS('RequestStats'!I:I, "A tiempo", 'RequestStats'!E:E,Metricas!H7)</f>
        <v/>
      </c>
      <c r="K7">
        <f>COUNTIFS('RequestStats'!I:I, "Fuera de tiempo", 'RequestStats'!E:E,Metricas!H7)</f>
        <v/>
      </c>
      <c r="L7" s="12">
        <f>AVERAGEIFS('RequestStats'!H:H, 'RequestStats'!C:C, "&gt;=" &amp; DATE(2026,1,1), 'RequestStats'!C:C, "&lt;=" &amp; DATE(2026,12,31), 'RequestStats'!E:E, Tabla71516911[[#This Row],[Gestores]])</f>
        <v/>
      </c>
      <c r="R7" s="56" t="n"/>
    </row>
    <row r="8" ht="15" customHeight="1">
      <c r="C8" s="38" t="inlineStr">
        <is>
          <t>Copia Digital</t>
        </is>
      </c>
      <c r="D8" s="38">
        <f>COUNTIFS('RequestStats'!B:B,"Copia Digital",'RequestStats'!F:F,"Dentro del horario")</f>
        <v/>
      </c>
      <c r="E8" s="38">
        <f>COUNTIFS('RequestStats'!B:B,"Copia Digital",'RequestStats'!F:F,"Fuera de horario")</f>
        <v/>
      </c>
      <c r="F8" s="38">
        <f>SUM(D8:E8)</f>
        <v/>
      </c>
      <c r="H8" s="27" t="inlineStr">
        <is>
          <t>Elvis Garibal Valdez Mejia</t>
        </is>
      </c>
      <c r="I8">
        <f>COUNTIF('RequestStats'!E:E,Metricas!H8)</f>
        <v/>
      </c>
      <c r="J8">
        <f>COUNTIFS('RequestStats'!I:I, "A tiempo", 'RequestStats'!E:E,Metricas!H8)</f>
        <v/>
      </c>
      <c r="K8">
        <f>COUNTIFS('RequestStats'!I:I, "Fuera de tiempo", 'RequestStats'!E:E,Metricas!H8)</f>
        <v/>
      </c>
      <c r="L8" s="12">
        <f>AVERAGEIFS('RequestStats'!H:H, 'RequestStats'!C:C, "&gt;=" &amp; DATE(2026,1,1), 'RequestStats'!C:C, "&lt;=" &amp; DATE(2026,12,31), 'RequestStats'!E:E, Tabla71516911[[#This Row],[Gestores]])</f>
        <v/>
      </c>
      <c r="M8" s="56" t="n"/>
      <c r="R8" s="56" t="n"/>
    </row>
    <row r="9" ht="15" customHeight="1">
      <c r="C9" s="38" t="inlineStr">
        <is>
          <t>Prestamo</t>
        </is>
      </c>
      <c r="D9" s="38">
        <f>COUNTIFS('RequestStats'!B:B,"Prestamo",'RequestStats'!F:F,"Dentro del horario")</f>
        <v/>
      </c>
      <c r="E9" s="38">
        <f>COUNTIFS('RequestStats'!B:B,"Prestamo",'RequestStats'!F:F,"Fuera de horario")</f>
        <v/>
      </c>
      <c r="F9" s="38">
        <f>SUM(D9:E9)</f>
        <v/>
      </c>
      <c r="H9" t="inlineStr">
        <is>
          <t>Jose Manuel Polanco Mercedes</t>
        </is>
      </c>
      <c r="I9">
        <f>COUNTIF('RequestStats'!E:E,Metricas!H9)</f>
        <v/>
      </c>
      <c r="J9">
        <f>COUNTIFS('RequestStats'!I:I, "A tiempo", 'RequestStats'!E:E,Metricas!H9)</f>
        <v/>
      </c>
      <c r="K9">
        <f>COUNTIFS('RequestStats'!I:I, "Fuera de tiempo", 'RequestStats'!E:E,Metricas!H9)</f>
        <v/>
      </c>
      <c r="L9" s="12">
        <f>AVERAGEIFS('RequestStats'!H:H, 'RequestStats'!C:C, "&gt;=" &amp; DATE(2026,1,1), 'RequestStats'!C:C, "&lt;=" &amp; DATE(2026,12,31), 'RequestStats'!E:E, Tabla71516911[[#This Row],[Gestores]])</f>
        <v/>
      </c>
      <c r="M9" s="56" t="n"/>
      <c r="R9" s="56" t="n"/>
    </row>
    <row r="10" ht="15" customHeight="1">
      <c r="C10" s="36" t="inlineStr">
        <is>
          <t>Total general</t>
        </is>
      </c>
      <c r="D10" s="37">
        <f>SUM(D8:D9)</f>
        <v/>
      </c>
      <c r="E10" s="37">
        <f>SUM(E8:E9)</f>
        <v/>
      </c>
      <c r="F10" s="37">
        <f>SUM(F8:F9)</f>
        <v/>
      </c>
      <c r="H10" s="27" t="inlineStr">
        <is>
          <t>Federico Arsenio Lachapel</t>
        </is>
      </c>
      <c r="I10">
        <f>COUNTIF('RequestStats'!E:E,Metricas!H10)</f>
        <v/>
      </c>
      <c r="J10">
        <f>COUNTIFS('RequestStats'!I:I, "A tiempo", 'RequestStats'!E:E,Metricas!H10)</f>
        <v/>
      </c>
      <c r="K10">
        <f>COUNTIFS('RequestStats'!I:I, "Fuera de tiempo", 'RequestStats'!E:E,Metricas!H10)</f>
        <v/>
      </c>
      <c r="L10" s="12">
        <f>AVERAGEIFS('RequestStats'!H:H, 'RequestStats'!C:C, "&gt;=" &amp; DATE(2026,1,1), 'RequestStats'!C:C, "&lt;=" &amp; DATE(2026,12,31), 'RequestStats'!E:E, Tabla71516911[[#This Row],[Gestores]])</f>
        <v/>
      </c>
      <c r="M10" s="56" t="n"/>
      <c r="R10" s="56" t="n"/>
    </row>
    <row r="11" ht="15" customHeight="1">
      <c r="C11" s="36" t="inlineStr">
        <is>
          <t>Etiquetas de fila</t>
        </is>
      </c>
      <c r="D11" s="36" t="inlineStr">
        <is>
          <t>A tiempo</t>
        </is>
      </c>
      <c r="E11" s="36" t="inlineStr">
        <is>
          <t>Fuera de tiempo</t>
        </is>
      </c>
      <c r="F11" s="36" t="inlineStr">
        <is>
          <t>Total general</t>
        </is>
      </c>
      <c r="H11" s="8" t="inlineStr">
        <is>
          <t>Julio Adolfo Merino Feliciano</t>
        </is>
      </c>
      <c r="I11">
        <f>COUNTIF('RequestStats'!E:E,Metricas!H11)</f>
        <v/>
      </c>
      <c r="J11">
        <f>COUNTIFS('RequestStats'!I:I, "A tiempo", 'RequestStats'!E:E,Metricas!H11)</f>
        <v/>
      </c>
      <c r="K11">
        <f>COUNTIFS('RequestStats'!I:I, "Fuera de tiempo", 'RequestStats'!E:E,Metricas!H11)</f>
        <v/>
      </c>
      <c r="L11" s="12">
        <f>AVERAGEIFS('RequestStats'!H:H, 'RequestStats'!C:C, "&gt;=" &amp; DATE(2026,1,1), 'RequestStats'!C:C, "&lt;=" &amp; DATE(2026,12,31), 'RequestStats'!E:E, Tabla71516911[[#This Row],[Gestores]])</f>
        <v/>
      </c>
      <c r="M11" s="56" t="n"/>
      <c r="R11" s="56" t="n"/>
    </row>
    <row r="12" ht="15" customHeight="1">
      <c r="C12" s="38" t="inlineStr">
        <is>
          <t>Copia Digital</t>
        </is>
      </c>
      <c r="D12" s="38">
        <f>COUNTIFS('RequestStats'!B:B,"Copia Digital",'RequestStats'!I:I,"A tiempo")</f>
        <v/>
      </c>
      <c r="E12" s="38">
        <f>COUNTIFS('RequestStats'!B:B,"Copia Digital",'RequestStats'!I:I,"Fuera de tiempo")</f>
        <v/>
      </c>
      <c r="F12" s="38">
        <f>SUM(D12:E12)</f>
        <v/>
      </c>
      <c r="H12" s="27" t="inlineStr">
        <is>
          <t>Jose Arturo Guzman Coste</t>
        </is>
      </c>
      <c r="I12">
        <f>COUNTIF('RequestStats'!E:E,Metricas!H12)</f>
        <v/>
      </c>
      <c r="J12">
        <f>COUNTIFS('RequestStats'!I:I, "A tiempo", 'RequestStats'!E:E,Metricas!H12)</f>
        <v/>
      </c>
      <c r="K12">
        <f>COUNTIFS('RequestStats'!I:I, "Fuera de tiempo", 'RequestStats'!E:E,Metricas!H12)</f>
        <v/>
      </c>
      <c r="L12" s="12">
        <f>AVERAGEIFS('RequestStats'!H:H, 'RequestStats'!C:C, "&gt;=" &amp; DATE(2026,1,1), 'RequestStats'!C:C, "&lt;=" &amp; DATE(2026,12,31), 'RequestStats'!E:E, Tabla71516911[[#This Row],[Gestores]])</f>
        <v/>
      </c>
      <c r="M12" s="56" t="n"/>
      <c r="R12" s="56" t="n"/>
    </row>
    <row r="13" ht="15" customHeight="1">
      <c r="C13" s="38" t="inlineStr">
        <is>
          <t>Prestamo</t>
        </is>
      </c>
      <c r="D13" s="38">
        <f>COUNTIFS('RequestStats'!B:B,"Prestamo",'RequestStats'!I:I,"A tiempo")</f>
        <v/>
      </c>
      <c r="E13" s="38">
        <f>COUNTIFS('RequestStats'!B:B,"Prestamo",'RequestStats'!I:I,"Fuera de tiempo")</f>
        <v/>
      </c>
      <c r="F13" s="38">
        <f>SUM(D13:E13)</f>
        <v/>
      </c>
      <c r="H13" s="27" t="inlineStr">
        <is>
          <t>Gestor Documental</t>
        </is>
      </c>
      <c r="I13">
        <f>COUNTIF('RequestStats'!E:E,Metricas!H13)</f>
        <v/>
      </c>
      <c r="J13">
        <f>COUNTIFS('RequestStats'!I:I, "A tiempo", 'RequestStats'!E:E,Metricas!H13)</f>
        <v/>
      </c>
      <c r="K13">
        <f>COUNTIFS('RequestStats'!I:I, "Fuera de tiempo", 'RequestStats'!E:E,Metricas!H13)</f>
        <v/>
      </c>
      <c r="L13" s="12">
        <f>AVERAGEIFS('RequestStats'!H:H, 'RequestStats'!C:C, "&gt;=" &amp; DATE(2026,1,1), 'RequestStats'!C:C, "&lt;=" &amp; DATE(2026,12,31), 'RequestStats'!E:E, Tabla71516911[[#This Row],[Gestores]])</f>
        <v/>
      </c>
      <c r="M13" s="56" t="n"/>
    </row>
    <row r="14" ht="15" customHeight="1">
      <c r="C14" s="36" t="inlineStr">
        <is>
          <t>Total general</t>
        </is>
      </c>
      <c r="D14" s="37">
        <f>SUM(D12:D13)</f>
        <v/>
      </c>
      <c r="E14" s="37">
        <f>SUM(E12:E13)</f>
        <v/>
      </c>
      <c r="F14" s="37">
        <f>SUM(F12:F13)</f>
        <v/>
      </c>
      <c r="L14" s="12" t="n"/>
      <c r="M14" s="56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C37" s="54" t="n"/>
      <c r="D37" s="54" t="n"/>
      <c r="E37" s="54" t="n"/>
      <c r="F37" s="54" t="n"/>
      <c r="H37" s="54" t="n"/>
      <c r="I37" s="54" t="n"/>
      <c r="J37" s="54" t="n"/>
      <c r="K37" s="54" t="n"/>
    </row>
    <row r="38">
      <c r="C38" s="54" t="n"/>
      <c r="D38" s="54" t="n"/>
      <c r="E38" s="54" t="n"/>
      <c r="F38" s="54" t="n"/>
      <c r="H38" s="54" t="n"/>
      <c r="I38" s="54" t="n"/>
      <c r="J38" s="54" t="n"/>
      <c r="K38" s="54" t="n"/>
    </row>
    <row r="39">
      <c r="C39" s="54" t="n"/>
      <c r="D39" s="54" t="n"/>
      <c r="E39" s="54" t="n"/>
      <c r="F39" s="54" t="n"/>
      <c r="H39" s="54" t="n"/>
      <c r="I39" s="54" t="n"/>
      <c r="J39" s="54" t="n"/>
      <c r="K39" s="54" t="n"/>
    </row>
    <row r="40">
      <c r="I40" s="47" t="n"/>
      <c r="J40" s="47" t="n"/>
    </row>
    <row r="41"/>
    <row r="42">
      <c r="C42" s="54" t="n"/>
      <c r="H42" s="54" t="n"/>
    </row>
    <row r="43">
      <c r="C43" s="54" t="n"/>
      <c r="D43" s="54" t="n"/>
      <c r="E43" s="54" t="n"/>
      <c r="F43" s="54" t="n"/>
    </row>
    <row r="44"/>
    <row r="45"/>
    <row r="46">
      <c r="C46" s="54" t="n"/>
    </row>
    <row r="47"/>
    <row r="48">
      <c r="H48" t="inlineStr">
        <is>
          <t xml:space="preserve"> </t>
        </is>
      </c>
    </row>
    <row r="49"/>
    <row r="50"/>
    <row r="51"/>
    <row r="52"/>
    <row r="53"/>
    <row r="54"/>
    <row r="55"/>
    <row r="56"/>
    <row r="57"/>
    <row r="58"/>
    <row r="59"/>
    <row r="60"/>
    <row r="61" ht="21.75" customHeight="1">
      <c r="C61" s="151" t="inlineStr">
        <is>
          <t>Trimestre 1 - Stats</t>
        </is>
      </c>
      <c r="H61" s="151" t="inlineStr">
        <is>
          <t>Trimestre 1 - Stats</t>
        </is>
      </c>
    </row>
    <row r="62">
      <c r="C62" s="152" t="n"/>
    </row>
    <row r="63">
      <c r="C63" s="156" t="inlineStr">
        <is>
          <t>Metas del  tiempo</t>
        </is>
      </c>
      <c r="D63" s="157" t="n"/>
      <c r="E63" s="158" t="n"/>
      <c r="F63" s="150" t="inlineStr">
        <is>
          <t>PRUDENCIA</t>
        </is>
      </c>
      <c r="G63" s="158" t="n"/>
      <c r="H63" t="inlineStr">
        <is>
          <t>Gestores</t>
        </is>
      </c>
      <c r="I63" t="inlineStr">
        <is>
          <t>Total</t>
        </is>
      </c>
      <c r="J63" t="inlineStr">
        <is>
          <t>A tiempo</t>
        </is>
      </c>
      <c r="K63" t="inlineStr">
        <is>
          <t>Fuera de tiempo</t>
        </is>
      </c>
      <c r="L63" t="inlineStr">
        <is>
          <t>Promedio</t>
        </is>
      </c>
    </row>
    <row r="64">
      <c r="C64" s="22" t="inlineStr">
        <is>
          <t>A tiempo</t>
        </is>
      </c>
      <c r="D64" t="inlineStr">
        <is>
          <t>Fuera de tiempo</t>
        </is>
      </c>
      <c r="E64" s="23" t="inlineStr">
        <is>
          <t>Promedio Tiempo de respuesta</t>
        </is>
      </c>
      <c r="F64" s="26" t="inlineStr">
        <is>
          <t>Dentro del horario</t>
        </is>
      </c>
      <c r="G64" s="19" t="inlineStr">
        <is>
          <t>Fuera de horario</t>
        </is>
      </c>
      <c r="H64" t="inlineStr">
        <is>
          <t>Kevin F Fernandez U</t>
        </is>
      </c>
      <c r="I64">
        <f>COUNTIFS('RequestStats'!E:E,Tabla792627[[#This Row],[Gestores]], 'RequestStats'!C:C, "&gt;=" &amp; DATE(2026,1,1), 'RequestStats'!C:C, "&lt;=" &amp; DATE(2026,4,1))</f>
        <v/>
      </c>
      <c r="J64">
        <f>COUNTIFS('RequestStats'!I:I, "A tiempo", 'RequestStats'!E:E,Metricas!H64, 'RequestStats'!C:C, "&gt;=" &amp; DATE(2026,1,1), 'RequestStats'!C:C, "&lt;=" &amp; DATE(2026,4,1))</f>
        <v/>
      </c>
      <c r="K64">
        <f>COUNTIFS('RequestStats'!I:I, "Fuera de tiempo", 'RequestStats'!E:E,Metricas!H64, 'RequestStats'!C:C, "&gt;=" &amp; DATE(2026,1,1), 'RequestStats'!C:C, "&lt;=" &amp; DATE(2026,4,1))</f>
        <v/>
      </c>
      <c r="L64" s="12">
        <f>AVERAGEIFS('RequestStats'!H:H, 'RequestStats'!C:C, "&gt;=" &amp; DATE(2026,1,1), 'RequestStats'!C:C, "&lt;=" &amp; DATE(2026,4,1), 'RequestStats'!E:E, Tabla792627[[#This Row],[Gestores]])</f>
        <v/>
      </c>
    </row>
    <row r="65">
      <c r="C65" s="20">
        <f>COUNTIFS('RequestStats'!H:H, "&lt;=02:00:00", 'RequestStats'!C:C, "&gt;=" &amp; DATE(2026,1,1), 'RequestStats'!C:C, "&lt;=" &amp; DATE(2026,4,1))</f>
        <v/>
      </c>
      <c r="D65" s="24">
        <f>COUNTIFS('RequestStats'!H:H, "&gt;02:00:01", 'RequestStats'!C:C, "&gt;=" &amp; DATE(2026,1,1), 'RequestStats'!C:C, "&lt;=" &amp; DATE(2026,4,1))</f>
        <v/>
      </c>
      <c r="E65" s="25">
        <f>AVERAGEIFS('RequestStats'!H:H,'RequestStats'!C:C, "&lt;=" &amp; DATE(2026,4,1), 'RequestStats'!C:C, "&gt;=" &amp; DATE(2026,1,1))</f>
        <v/>
      </c>
      <c r="F65" s="24">
        <f>COUNTIFS('RequestStats'!C:C, "&gt;=" &amp; DATE(2026,1,1), 'RequestStats'!C:C, "&lt;=" &amp; DATE(2026,4,1), 'RequestStats'!F:F, "Dentro del Horario")</f>
        <v/>
      </c>
      <c r="G65" s="21">
        <f>COUNTIFS('RequestStats'!C:C, "&gt;=" &amp; DATE(2026,1,1), 'RequestStats'!C:C, "&lt;=" &amp; DATE(2026,4,1), 'RequestStats'!F:F, "Fuera de Horario")</f>
        <v/>
      </c>
      <c r="H65" t="inlineStr">
        <is>
          <t>Moises Antonio Laureano Mateo</t>
        </is>
      </c>
      <c r="I65">
        <f>COUNTIFS('RequestStats'!E:E,Tabla792627[[#This Row],[Gestores]], 'RequestStats'!C:C, "&gt;=" &amp; DATE(2026,1,1), 'RequestStats'!C:C, "&lt;=" &amp; DATE(2026,4,1))</f>
        <v/>
      </c>
      <c r="J65">
        <f>COUNTIFS('RequestStats'!I:I, "A tiempo", 'RequestStats'!E:E,Metricas!H65, 'RequestStats'!C:C, "&gt;=" &amp; DATE(2026,1,1), 'RequestStats'!C:C, "&lt;=" &amp; DATE(2026,4,1))</f>
        <v/>
      </c>
      <c r="K65">
        <f>COUNTIFS('RequestStats'!I:I, "Fuera de tiempo", 'RequestStats'!E:E,Metricas!H65, 'RequestStats'!C:C, "&gt;=" &amp; DATE(2026,1,1), 'RequestStats'!C:C, "&lt;=" &amp; DATE(2026,4,1))</f>
        <v/>
      </c>
      <c r="L65" s="12">
        <f>AVERAGEIFS('RequestStats'!H:H, 'RequestStats'!C:C, "&gt;=" &amp; DATE(2026,1,1), 'RequestStats'!C:C, "&lt;=" &amp; DATE(2026,4,1), 'RequestStats'!E:E, Tabla792627[[#This Row],[Gestores]])</f>
        <v/>
      </c>
    </row>
    <row r="66">
      <c r="C66" s="36" t="inlineStr">
        <is>
          <t>Trimestre 1 - Stats</t>
        </is>
      </c>
      <c r="D66" s="36" t="inlineStr">
        <is>
          <t>Enero - Marzo</t>
        </is>
      </c>
      <c r="E66" s="36" t="inlineStr">
        <is>
          <t>Año</t>
        </is>
      </c>
      <c r="F66" s="36" t="n">
        <v>2026</v>
      </c>
      <c r="G66" s="145" t="inlineStr">
        <is>
          <t>Total:</t>
        </is>
      </c>
      <c r="H66" t="inlineStr">
        <is>
          <t>Andersson Beltre</t>
        </is>
      </c>
      <c r="I66">
        <f>COUNTIFS('RequestStats'!E:E,Tabla792627[[#This Row],[Gestores]], 'RequestStats'!C:C, "&gt;=" &amp; DATE(2026,1,1), 'RequestStats'!C:C, "&lt;=" &amp; DATE(2026,4,1))</f>
        <v/>
      </c>
      <c r="J66">
        <f>COUNTIFS('RequestStats'!I:I, "A tiempo", 'RequestStats'!E:E,Metricas!H66, 'RequestStats'!C:C, "&gt;=" &amp; DATE(2026,1,1), 'RequestStats'!C:C, "&lt;=" &amp; DATE(2026,4,1))</f>
        <v/>
      </c>
      <c r="K66">
        <f>COUNTIFS('RequestStats'!I:I, "Fuera de tiempo", 'RequestStats'!E:E,Metricas!H66, 'RequestStats'!C:C, "&gt;=" &amp; DATE(2026,1,1), 'RequestStats'!C:C, "&lt;=" &amp; DATE(2026,4,1))</f>
        <v/>
      </c>
      <c r="L66" s="12">
        <f>AVERAGEIFS('RequestStats'!H:H, 'RequestStats'!C:C, "&gt;=" &amp; DATE(2026,1,1), 'RequestStats'!C:C, "&lt;=" &amp; DATE(2026,4,1), 'RequestStats'!E:E, Tabla792627[[#This Row],[Gestores]])</f>
        <v/>
      </c>
    </row>
    <row r="67">
      <c r="C67" s="36" t="inlineStr">
        <is>
          <t>Cuenta de Solicitud</t>
        </is>
      </c>
      <c r="D67" s="36" t="inlineStr">
        <is>
          <t>Etiquetas de columna</t>
        </is>
      </c>
      <c r="E67" s="36" t="n"/>
      <c r="F67" s="36" t="n"/>
      <c r="H67" t="inlineStr">
        <is>
          <t>Julio Angel Thomas GarcIa</t>
        </is>
      </c>
      <c r="I67">
        <f>COUNTIFS('RequestStats'!E:E,Tabla792627[[#This Row],[Gestores]], 'RequestStats'!C:C, "&gt;=" &amp; DATE(2026,1,1), 'RequestStats'!C:C, "&lt;=" &amp; DATE(2026,4,1))</f>
        <v/>
      </c>
      <c r="J67">
        <f>COUNTIFS('RequestStats'!I:I, "A tiempo", 'RequestStats'!E:E,Metricas!H67, 'RequestStats'!C:C, "&gt;=" &amp; DATE(2026,1,1), 'RequestStats'!C:C, "&lt;=" &amp; DATE(2026,4,1))</f>
        <v/>
      </c>
      <c r="K67">
        <f>COUNTIFS('RequestStats'!I:I, "Fuera de tiempo", 'RequestStats'!E:E,Metricas!H67, 'RequestStats'!C:C, "&gt;=" &amp; DATE(2026,1,1), 'RequestStats'!C:C, "&lt;=" &amp; DATE(2026,4,1))</f>
        <v/>
      </c>
      <c r="L67" s="12">
        <f>AVERAGEIFS('RequestStats'!H:H, 'RequestStats'!C:C, "&gt;=" &amp; DATE(2026,1,1), 'RequestStats'!C:C, "&lt;=" &amp; DATE(2026,4,1), 'RequestStats'!E:E, Tabla792627[[#This Row],[Gestores]])</f>
        <v/>
      </c>
    </row>
    <row r="68">
      <c r="C68" s="36" t="inlineStr">
        <is>
          <t>Etiquetas de fila</t>
        </is>
      </c>
      <c r="D68" s="36" t="inlineStr">
        <is>
          <t>Dentro del horario</t>
        </is>
      </c>
      <c r="E68" s="36" t="inlineStr">
        <is>
          <t>Fuera de horario</t>
        </is>
      </c>
      <c r="F68" s="36" t="inlineStr">
        <is>
          <t>Total general</t>
        </is>
      </c>
      <c r="G68" s="144">
        <f>(F71+F75)/2</f>
        <v/>
      </c>
      <c r="H68" s="53" t="inlineStr">
        <is>
          <t>Genaro Corporan B</t>
        </is>
      </c>
      <c r="I68">
        <f>COUNTIFS('RequestStats'!E:E,Tabla792627[[#This Row],[Gestores]], 'RequestStats'!C:C, "&gt;=" &amp; DATE(2026,1,1), 'RequestStats'!C:C, "&lt;=" &amp; DATE(2026,4,1))</f>
        <v/>
      </c>
      <c r="J68">
        <f>COUNTIFS('RequestStats'!I:I, "A tiempo", 'RequestStats'!E:E,Metricas!H68, 'RequestStats'!C:C, "&gt;=" &amp; DATE(2026,1,1), 'RequestStats'!C:C, "&lt;=" &amp; DATE(2026,4,1))</f>
        <v/>
      </c>
      <c r="K68">
        <f>COUNTIFS('RequestStats'!I:I, "Fuera de tiempo", 'RequestStats'!E:E,Metricas!H68, 'RequestStats'!C:C, "&gt;=" &amp; DATE(2026,1,1), 'RequestStats'!C:C, "&lt;=" &amp; DATE(2026,4,1))</f>
        <v/>
      </c>
      <c r="L68" s="12">
        <f>AVERAGEIFS('RequestStats'!H:H, 'RequestStats'!C:C, "&gt;=" &amp; DATE(2026,1,1), 'RequestStats'!C:C, "&lt;=" &amp; DATE(2026,4,1), 'RequestStats'!E:E, Tabla792627[[#This Row],[Gestores]])</f>
        <v/>
      </c>
    </row>
    <row r="69">
      <c r="C69" s="38" t="inlineStr">
        <is>
          <t>Copia Digital</t>
        </is>
      </c>
      <c r="D69" s="39">
        <f>COUNTIFS('RequestStats'!C:C, "&gt;=" &amp; DATE(2026,1,1), 'RequestStats'!C:C, "&lt;=" &amp; DATE(2026,4,1), 'RequestStats'!F:F, "Dentro del Horario", 'RequestStats'!B:B, "Copia Digital" )</f>
        <v/>
      </c>
      <c r="E69" s="39">
        <f>COUNTIFS('RequestStats'!C:C, "&gt;=" &amp; DATE(2026,1,1), 'RequestStats'!C:C, "&lt;=" &amp; DATE(2026,4,1), 'RequestStats'!F:F, "Fuera de Horario", 'RequestStats'!B:B, "Copia Digital" )</f>
        <v/>
      </c>
      <c r="F69" s="38">
        <f>SUM(D69:E69)</f>
        <v/>
      </c>
      <c r="H69" s="27" t="inlineStr">
        <is>
          <t>Federico Arsenio Lachapel</t>
        </is>
      </c>
      <c r="I69">
        <f>COUNTIFS('RequestStats'!E:E,Tabla792627[[#This Row],[Gestores]], 'RequestStats'!C:C, "&gt;=" &amp; DATE(2026,1,1), 'RequestStats'!C:C, "&lt;=" &amp; DATE(2026,4,1))</f>
        <v/>
      </c>
      <c r="J69">
        <f>COUNTIFS('RequestStats'!I:I, "A tiempo", 'RequestStats'!E:E,Metricas!H69, 'RequestStats'!C:C, "&gt;=" &amp; DATE(2026,1,1), 'RequestStats'!C:C, "&lt;=" &amp; DATE(2026,4,1))</f>
        <v/>
      </c>
      <c r="K69">
        <f>COUNTIFS('RequestStats'!I:I, "Fuera de tiempo", 'RequestStats'!E:E,Metricas!H69, 'RequestStats'!C:C, "&gt;=" &amp; DATE(2026,1,1), 'RequestStats'!C:C, "&lt;=" &amp; DATE(2026,4,1))</f>
        <v/>
      </c>
      <c r="L69" s="12">
        <f>AVERAGEIFS('RequestStats'!H:H, 'RequestStats'!C:C, "&gt;=" &amp; DATE(2026,1,1), 'RequestStats'!C:C, "&lt;=" &amp; DATE(2026,4,1), 'RequestStats'!E:E, Tabla792627[[#This Row],[Gestores]])</f>
        <v/>
      </c>
    </row>
    <row r="70">
      <c r="C70" s="38" t="inlineStr">
        <is>
          <t>Prestamo</t>
        </is>
      </c>
      <c r="D70" s="38">
        <f>COUNTIFS('RequestStats'!C:C, "&gt;=" &amp; DATE(2026,1,1), 'RequestStats'!C:C, "&lt;=" &amp; DATE(2026,4,1), 'RequestStats'!F:F, "Dentro del Horario", 'RequestStats'!B:B, "Prestamo" )</f>
        <v/>
      </c>
      <c r="E70" s="38">
        <f>COUNTIFS('RequestStats'!C:C, "&gt;=" &amp; DATE(2026,1,1), 'RequestStats'!C:C, "&lt;=" &amp; DATE(2026,4,1), 'RequestStats'!F:F, "Fuera de Horario", 'RequestStats'!B:B, "Prestamo" )</f>
        <v/>
      </c>
      <c r="F70" s="38">
        <f>SUM(D70:E70)</f>
        <v/>
      </c>
      <c r="H70" s="27" t="inlineStr">
        <is>
          <t>Elvis Garibal Valdez Mejia</t>
        </is>
      </c>
      <c r="I70">
        <f>COUNTIFS('RequestStats'!E:E,Tabla792627[[#This Row],[Gestores]], 'RequestStats'!C:C, "&gt;=" &amp; DATE(2026,1,1), 'RequestStats'!C:C, "&lt;=" &amp; DATE(2026,4,1))</f>
        <v/>
      </c>
      <c r="J70">
        <f>COUNTIFS('RequestStats'!I:I, "A tiempo", 'RequestStats'!E:E,Metricas!H70, 'RequestStats'!C:C, "&gt;=" &amp; DATE(2026,1,1), 'RequestStats'!C:C, "&lt;=" &amp; DATE(2026,4,1))</f>
        <v/>
      </c>
      <c r="K70">
        <f>COUNTIFS('RequestStats'!I:I, "Fuera de tiempo", 'RequestStats'!E:E,Metricas!H70, 'RequestStats'!C:C, "&gt;=" &amp; DATE(2026,1,1), 'RequestStats'!C:C, "&lt;=" &amp; DATE(2026,4,1))</f>
        <v/>
      </c>
      <c r="L70" s="12">
        <f>AVERAGEIFS('RequestStats'!H:H, 'RequestStats'!C:C, "&gt;=" &amp; DATE(2026,1,1), 'RequestStats'!C:C, "&lt;=" &amp; DATE(2026,4,1), 'RequestStats'!E:E, Tabla792627[[#This Row],[Gestores]])</f>
        <v/>
      </c>
    </row>
    <row r="71">
      <c r="C71" s="36" t="inlineStr">
        <is>
          <t>Total general</t>
        </is>
      </c>
      <c r="D71" s="37">
        <f>SUM(D69:D70)</f>
        <v/>
      </c>
      <c r="E71" s="37">
        <f>SUM(E69:E70)</f>
        <v/>
      </c>
      <c r="F71" s="37">
        <f>SUM(F69:F70)</f>
        <v/>
      </c>
      <c r="H71" s="27" t="inlineStr">
        <is>
          <t>Jose Manuel Polanco Mercedes</t>
        </is>
      </c>
      <c r="I71">
        <f>COUNTIFS('RequestStats'!E:E,Tabla792627[[#This Row],[Gestores]], 'RequestStats'!C:C, "&gt;=" &amp; DATE(2026,1,1), 'RequestStats'!C:C, "&lt;=" &amp; DATE(2026,4,1))</f>
        <v/>
      </c>
      <c r="J71">
        <f>COUNTIFS('RequestStats'!I:I, "A tiempo", 'RequestStats'!E:E,Metricas!H71, 'RequestStats'!C:C, "&gt;=" &amp; DATE(2026,1,1), 'RequestStats'!C:C, "&lt;=" &amp; DATE(2026,4,1))</f>
        <v/>
      </c>
      <c r="K71">
        <f>COUNTIFS('RequestStats'!I:I, "Fuera de tiempo", 'RequestStats'!E:E,Metricas!H71, 'RequestStats'!C:C, "&gt;=" &amp; DATE(2026,1,1), 'RequestStats'!C:C, "&lt;=" &amp; DATE(2026,4,1))</f>
        <v/>
      </c>
      <c r="L71" s="12">
        <f>AVERAGEIFS('RequestStats'!H:H, 'RequestStats'!C:C, "&gt;=" &amp; DATE(2026,1,1), 'RequestStats'!C:C, "&lt;=" &amp; DATE(2026,4,1), 'RequestStats'!E:E, Tabla792627[[#This Row],[Gestores]])</f>
        <v/>
      </c>
    </row>
    <row r="72">
      <c r="C72" s="36" t="inlineStr">
        <is>
          <t>Etiquetas de fila</t>
        </is>
      </c>
      <c r="D72" s="36" t="inlineStr">
        <is>
          <t>A tiempo</t>
        </is>
      </c>
      <c r="E72" s="36" t="inlineStr">
        <is>
          <t>Fuera de tiempo</t>
        </is>
      </c>
      <c r="F72" s="36" t="inlineStr">
        <is>
          <t>Total general</t>
        </is>
      </c>
      <c r="H72" t="inlineStr">
        <is>
          <t>Francisco Sanchez V</t>
        </is>
      </c>
      <c r="I72">
        <f>COUNTIFS('RequestStats'!E:E,Tabla792627[[#This Row],[Gestores]], 'RequestStats'!C:C, "&gt;=" &amp; DATE(2026,1,1), 'RequestStats'!C:C, "&lt;=" &amp; DATE(2026,4,1))</f>
        <v/>
      </c>
      <c r="J72">
        <f>COUNTIFS('RequestStats'!I:I, "A tiempo", 'RequestStats'!E:E,Metricas!H72, 'RequestStats'!C:C, "&gt;=" &amp; DATE(2026,1,1), 'RequestStats'!C:C, "&lt;=" &amp; DATE(2026,4,1))</f>
        <v/>
      </c>
      <c r="K72">
        <f>COUNTIFS('RequestStats'!I:I, "Fuera de tiempo", 'RequestStats'!E:E,Metricas!H72, 'RequestStats'!C:C, "&gt;=" &amp; DATE(2026,1,1), 'RequestStats'!C:C, "&lt;=" &amp; DATE(2026,4,1))</f>
        <v/>
      </c>
      <c r="L72" s="12">
        <f>AVERAGEIFS('RequestStats'!H:H, 'RequestStats'!C:C, "&gt;=" &amp; DATE(2026,1,1), 'RequestStats'!C:C, "&lt;=" &amp; DATE(2026,4,1), 'RequestStats'!E:E, Tabla792627[[#This Row],[Gestores]])</f>
        <v/>
      </c>
    </row>
    <row r="73">
      <c r="C73" s="38" t="inlineStr">
        <is>
          <t>Copia Digital</t>
        </is>
      </c>
      <c r="D73" s="38">
        <f>COUNTIFS('RequestStats'!C:C, "&gt;=" &amp; DATE(2026,1,1), 'RequestStats'!C:C, "&lt;=" &amp; DATE(2026,4,1),'RequestStats'!B:B,"Copia Digital",'RequestStats'!I:I,"A tiempo")</f>
        <v/>
      </c>
      <c r="E73" s="38">
        <f>COUNTIFS('RequestStats'!C:C, "&gt;=" &amp; DATE(2026,1,1), 'RequestStats'!C:C, "&lt;=" &amp; DATE(2026,4,1),'RequestStats'!B:B,"Copia Digital",'RequestStats'!I:I,"Fuera de tiempo")</f>
        <v/>
      </c>
      <c r="F73" s="38">
        <f>SUM(D73:E73)</f>
        <v/>
      </c>
      <c r="H73" t="inlineStr">
        <is>
          <t>Gestor Documental</t>
        </is>
      </c>
      <c r="I73">
        <f>COUNTIFS('RequestStats'!E:E,Tabla792627[[#This Row],[Gestores]], 'RequestStats'!C:C, "&gt;=" &amp; DATE(2026,1,1), 'RequestStats'!C:C, "&lt;=" &amp; DATE(2026,4,1))</f>
        <v/>
      </c>
      <c r="J73">
        <f>COUNTIFS('RequestStats'!I:I, "A tiempo", 'RequestStats'!E:E,Metricas!H73, 'RequestStats'!C:C, "&gt;=" &amp; DATE(2026,1,1), 'RequestStats'!C:C, "&lt;=" &amp; DATE(2026,4,1))</f>
        <v/>
      </c>
      <c r="K73">
        <f>COUNTIFS('RequestStats'!I:I, "Fuera de tiempo", 'RequestStats'!E:E,Metricas!H73, 'RequestStats'!C:C, "&gt;=" &amp; DATE(2026,1,1), 'RequestStats'!C:C, "&lt;=" &amp; DATE(2026,4,1))</f>
        <v/>
      </c>
      <c r="L73" s="12">
        <f>AVERAGEIFS('RequestStats'!H:H, 'RequestStats'!C:C, "&gt;=" &amp; DATE(2026,1,1), 'RequestStats'!C:C, "&lt;=" &amp; DATE(2026,4,1), 'RequestStats'!E:E, Tabla792627[[#This Row],[Gestores]])</f>
        <v/>
      </c>
    </row>
    <row r="74">
      <c r="C74" s="38" t="inlineStr">
        <is>
          <t>Prestamo</t>
        </is>
      </c>
      <c r="D74" s="38">
        <f>COUNTIFS('RequestStats'!C:C, "&gt;=" &amp; DATE(2026,1,1), 'RequestStats'!C:C, "&lt;=" &amp; DATE(2026,4,1),'RequestStats'!B:B,"Prestamo",'RequestStats'!I:I,"A tiempo")</f>
        <v/>
      </c>
      <c r="E74" s="38">
        <f>COUNTIFS('RequestStats'!C:C, "&gt;=" &amp; DATE(2026,1,1), 'RequestStats'!C:C, "&lt;=" &amp; DATE(2026,4,1),'RequestStats'!B:B,"Prestamo",'RequestStats'!I:I,"Fuera de tiempo")</f>
        <v/>
      </c>
      <c r="F74" s="38">
        <f>SUM(D74:E74)</f>
        <v/>
      </c>
      <c r="L74" s="12" t="n"/>
    </row>
    <row r="75">
      <c r="C75" s="36" t="inlineStr">
        <is>
          <t>Total general</t>
        </is>
      </c>
      <c r="D75" s="37">
        <f>SUM(D73:D74)</f>
        <v/>
      </c>
      <c r="E75" s="37">
        <f>SUM(E73:E74)</f>
        <v/>
      </c>
      <c r="F75" s="37">
        <f>SUM(F73:F74)</f>
        <v/>
      </c>
      <c r="L75" s="12" t="n"/>
    </row>
    <row r="76">
      <c r="L76" s="12" t="n"/>
    </row>
    <row r="77">
      <c r="L77" s="12" t="n"/>
    </row>
    <row r="78"/>
    <row r="79"/>
    <row r="80"/>
    <row r="81"/>
    <row r="82"/>
    <row r="83"/>
    <row r="84"/>
    <row r="85">
      <c r="L85" s="12" t="n"/>
    </row>
    <row r="86">
      <c r="L86" s="12" t="n"/>
    </row>
    <row r="87">
      <c r="L87" s="12" t="n"/>
    </row>
    <row r="88"/>
    <row r="89"/>
    <row r="90"/>
    <row r="91"/>
    <row r="92"/>
    <row r="93"/>
    <row r="94"/>
    <row r="95">
      <c r="L95" s="12" t="n"/>
    </row>
    <row r="96">
      <c r="L96" s="12" t="n"/>
    </row>
    <row r="97">
      <c r="L97" s="12" t="n"/>
    </row>
    <row r="98">
      <c r="L98" s="12" t="n"/>
    </row>
    <row r="99"/>
    <row r="100"/>
    <row r="101"/>
    <row r="102"/>
    <row r="103"/>
    <row r="104"/>
    <row r="105"/>
    <row r="106">
      <c r="L106" s="12" t="n"/>
    </row>
    <row r="107">
      <c r="L107" s="12" t="n"/>
    </row>
    <row r="108">
      <c r="L108" s="12" t="n"/>
    </row>
    <row r="109"/>
    <row r="110"/>
    <row r="111"/>
    <row r="112"/>
    <row r="113"/>
    <row r="114"/>
    <row r="115"/>
    <row r="116">
      <c r="L116" s="12" t="n"/>
    </row>
    <row r="117">
      <c r="L117" s="12" t="n"/>
    </row>
    <row r="118">
      <c r="L118" s="12" t="n"/>
    </row>
    <row r="119">
      <c r="L119" s="12" t="n"/>
    </row>
    <row r="120"/>
    <row r="121"/>
    <row r="122">
      <c r="C122" s="153" t="inlineStr">
        <is>
          <t>Trimestre 2 - Stats</t>
        </is>
      </c>
      <c r="H122" s="151" t="inlineStr">
        <is>
          <t>Trimestre 2 - Stats</t>
        </is>
      </c>
    </row>
    <row r="123">
      <c r="C123" s="152" t="n"/>
    </row>
    <row r="124">
      <c r="C124" s="156" t="inlineStr">
        <is>
          <t>Metas del  tiempo</t>
        </is>
      </c>
      <c r="D124" s="157" t="n"/>
      <c r="E124" s="158" t="n"/>
      <c r="F124" s="150" t="inlineStr">
        <is>
          <t>PRUDENCIA</t>
        </is>
      </c>
      <c r="G124" s="158" t="n"/>
      <c r="H124" t="inlineStr">
        <is>
          <t>Gestores</t>
        </is>
      </c>
      <c r="I124" t="inlineStr">
        <is>
          <t>Total</t>
        </is>
      </c>
      <c r="J124" t="inlineStr">
        <is>
          <t>A tiempo</t>
        </is>
      </c>
      <c r="K124" t="inlineStr">
        <is>
          <t>Fuera de tiempo</t>
        </is>
      </c>
      <c r="L124" t="inlineStr">
        <is>
          <t>Promedio</t>
        </is>
      </c>
    </row>
    <row r="125">
      <c r="C125" s="22" t="inlineStr">
        <is>
          <t>A tiempo</t>
        </is>
      </c>
      <c r="D125" t="inlineStr">
        <is>
          <t>Fuera de tiempo</t>
        </is>
      </c>
      <c r="E125" s="23" t="inlineStr">
        <is>
          <t>Promedio Tiempo de respuesta</t>
        </is>
      </c>
      <c r="F125" s="26" t="inlineStr">
        <is>
          <t>Dentro del horario</t>
        </is>
      </c>
      <c r="G125" s="19" t="inlineStr">
        <is>
          <t>Fuera de horario</t>
        </is>
      </c>
      <c r="H125" t="inlineStr">
        <is>
          <t>Andersson Beltre</t>
        </is>
      </c>
      <c r="I125">
        <f>COUNTIFS('RequestStats'!E:E,Tabla79262713[[#This Row],[Gestores]], 'RequestStats'!C:C, "&gt;=" &amp; DATE(2026,4,1), 'RequestStats'!C:C, "&lt;=" &amp; DATE(2026,7,1))</f>
        <v/>
      </c>
      <c r="J125">
        <f>COUNTIFS('RequestStats'!I:I, "A tiempo", 'RequestStats'!E:E,Metricas!H125, 'RequestStats'!C:C, "&gt;=" &amp; DATE(2026,4,1), 'RequestStats'!C:C, "&lt;=" &amp; DATE(2026,7,1))</f>
        <v/>
      </c>
      <c r="K125">
        <f>COUNTIFS('RequestStats'!I:I, "Fuera de tiempo", 'RequestStats'!E:E,Metricas!H125, 'RequestStats'!C:C, "&gt;=" &amp; DATE(2026,4,1), 'RequestStats'!C:C, "&lt;=" &amp; DATE(2026,7,1))</f>
        <v/>
      </c>
      <c r="L125" s="12">
        <f>AVERAGEIFS('RequestStats'!H:H, 'RequestStats'!C:C, "&gt;=" &amp; DATE(2026,4,1), 'RequestStats'!C:C, "&lt;=" &amp; DATE(2026,7,1), 'RequestStats'!E:E, Tabla79262713[[#This Row],[Gestores]])</f>
        <v/>
      </c>
    </row>
    <row r="126">
      <c r="C126" s="20">
        <f>COUNTIFS('RequestStats'!H:H, "&lt;=02:00:00", 'RequestStats'!C:C, "&gt;=" &amp; DATE(2026,4,1), 'RequestStats'!C:C, "&lt;=" &amp; DATE(2026,7,1))</f>
        <v/>
      </c>
      <c r="D126" s="24">
        <f>COUNTIFS('RequestStats'!H:H, "&gt;02:00:01", 'RequestStats'!C:C, "&gt;=" &amp; DATE(2026,4,1), 'RequestStats'!C:C, "&lt;=" &amp; DATE(2026,7,1))</f>
        <v/>
      </c>
      <c r="E126" s="25">
        <f>AVERAGEIFS('RequestStats'!H:H,'RequestStats'!C:C, "&lt;=" &amp; DATE(2026,7,1), 'RequestStats'!C:C, "&gt;=" &amp; DATE(2026,4,1))</f>
        <v/>
      </c>
      <c r="F126" s="24">
        <f>COUNTIFS('RequestStats'!C:C, "&gt;=" &amp; DATE(2026,4,1), 'RequestStats'!C:C, "&lt;=" &amp; DATE(2026,7,1), 'RequestStats'!F:F, "Dentro del Horario")</f>
        <v/>
      </c>
      <c r="G126" s="21">
        <f>COUNTIFS('RequestStats'!C:C, "&gt;=" &amp; DATE(2026,4,1), 'RequestStats'!C:C, "&lt;=" &amp; DATE(2026,7,1), 'RequestStats'!F:F, "Fuera de Horario")</f>
        <v/>
      </c>
      <c r="H126" s="27" t="inlineStr">
        <is>
          <t>Federico Arsenio Lachapel</t>
        </is>
      </c>
      <c r="I126">
        <f>COUNTIFS('RequestStats'!E:E,Tabla79262713[[#This Row],[Gestores]], 'RequestStats'!C:C, "&gt;=" &amp; DATE(2026,4,1), 'RequestStats'!C:C, "&lt;=" &amp; DATE(2026,7,1))</f>
        <v/>
      </c>
      <c r="J126">
        <f>COUNTIFS('RequestStats'!I:I, "A tiempo", 'RequestStats'!E:E,Metricas!H126, 'RequestStats'!C:C, "&gt;=" &amp; DATE(2026,4,1), 'RequestStats'!C:C, "&lt;=" &amp; DATE(2026,7,1))</f>
        <v/>
      </c>
      <c r="K126">
        <f>COUNTIFS('RequestStats'!I:I, "Fuera de tiempo", 'RequestStats'!E:E,Metricas!H126, 'RequestStats'!C:C, "&gt;=" &amp; DATE(2026,4,1), 'RequestStats'!C:C, "&lt;=" &amp; DATE(2026,7,1))</f>
        <v/>
      </c>
      <c r="L126" s="12">
        <f>AVERAGEIFS('RequestStats'!H:H, 'RequestStats'!C:C, "&gt;=" &amp; DATE(2026,4,1), 'RequestStats'!C:C, "&lt;=" &amp; DATE(2026,7,1), 'RequestStats'!E:E, Tabla79262713[[#This Row],[Gestores]])</f>
        <v/>
      </c>
    </row>
    <row r="127" ht="15" customHeight="1">
      <c r="C127" s="36" t="inlineStr">
        <is>
          <t>Trimestre 2 - Stats</t>
        </is>
      </c>
      <c r="D127" s="36" t="inlineStr">
        <is>
          <t>Abril - Junio</t>
        </is>
      </c>
      <c r="E127" s="36" t="inlineStr">
        <is>
          <t>Año</t>
        </is>
      </c>
      <c r="F127" s="36" t="n">
        <v>2026</v>
      </c>
      <c r="G127" s="145" t="inlineStr">
        <is>
          <t>Total:</t>
        </is>
      </c>
      <c r="H127" t="inlineStr">
        <is>
          <t>Julio Angel Thomas GarcIa</t>
        </is>
      </c>
      <c r="I127">
        <f>COUNTIFS('RequestStats'!E:E,Tabla79262713[[#This Row],[Gestores]], 'RequestStats'!C:C, "&gt;=" &amp; DATE(2026,4,1), 'RequestStats'!C:C, "&lt;=" &amp; DATE(2026,7,1))</f>
        <v/>
      </c>
      <c r="J127">
        <f>COUNTIFS('RequestStats'!I:I, "A tiempo", 'RequestStats'!E:E,Metricas!H127, 'RequestStats'!C:C, "&gt;=" &amp; DATE(2026,4,1), 'RequestStats'!C:C, "&lt;=" &amp; DATE(2026,7,1))</f>
        <v/>
      </c>
      <c r="K127">
        <f>COUNTIFS('RequestStats'!I:I, "Fuera de tiempo", 'RequestStats'!E:E,Metricas!H127, 'RequestStats'!C:C, "&gt;=" &amp; DATE(2026,4,1), 'RequestStats'!C:C, "&lt;=" &amp; DATE(2026,7,1))</f>
        <v/>
      </c>
      <c r="L127" s="12">
        <f>AVERAGEIFS('RequestStats'!H:H, 'RequestStats'!C:C, "&gt;=" &amp; DATE(2026,4,1), 'RequestStats'!C:C, "&lt;=" &amp; DATE(2026,7,1), 'RequestStats'!E:E, Tabla79262713[[#This Row],[Gestores]])</f>
        <v/>
      </c>
    </row>
    <row r="128" ht="15" customHeight="1">
      <c r="C128" s="36" t="inlineStr">
        <is>
          <t>Cuenta de Solicitud</t>
        </is>
      </c>
      <c r="D128" s="36" t="inlineStr">
        <is>
          <t>Etiquetas de columna</t>
        </is>
      </c>
      <c r="E128" s="36" t="n"/>
      <c r="F128" s="36" t="n"/>
      <c r="H128" s="27" t="inlineStr">
        <is>
          <t>Jose Manuel Polanco Mercedes</t>
        </is>
      </c>
      <c r="I128">
        <f>COUNTIFS('RequestStats'!E:E,Tabla79262713[[#This Row],[Gestores]], 'RequestStats'!C:C, "&gt;=" &amp; DATE(2026,4,1), 'RequestStats'!C:C, "&lt;=" &amp; DATE(2026,7,1))</f>
        <v/>
      </c>
      <c r="J128">
        <f>COUNTIFS('RequestStats'!I:I, "A tiempo", 'RequestStats'!E:E,Metricas!H128, 'RequestStats'!C:C, "&gt;=" &amp; DATE(2026,4,1), 'RequestStats'!C:C, "&lt;=" &amp; DATE(2026,7,1))</f>
        <v/>
      </c>
      <c r="K128">
        <f>COUNTIFS('RequestStats'!I:I, "Fuera de tiempo", 'RequestStats'!E:E,Metricas!H128, 'RequestStats'!C:C, "&gt;=" &amp; DATE(2026,4,1), 'RequestStats'!C:C, "&lt;=" &amp; DATE(2026,7,1))</f>
        <v/>
      </c>
      <c r="L128" s="12">
        <f>AVERAGEIFS('RequestStats'!H:H, 'RequestStats'!C:C, "&gt;=" &amp; DATE(2026,4,1), 'RequestStats'!C:C, "&lt;=" &amp; DATE(2026,7,1), 'RequestStats'!E:E, Tabla79262713[[#This Row],[Gestores]])</f>
        <v/>
      </c>
    </row>
    <row r="129" ht="15" customHeight="1">
      <c r="C129" s="36" t="inlineStr">
        <is>
          <t>Etiquetas de fila</t>
        </is>
      </c>
      <c r="D129" s="36" t="inlineStr">
        <is>
          <t>Dentro del horario</t>
        </is>
      </c>
      <c r="E129" s="36" t="inlineStr">
        <is>
          <t>Fuera de horario</t>
        </is>
      </c>
      <c r="F129" s="36" t="inlineStr">
        <is>
          <t>Total general</t>
        </is>
      </c>
      <c r="G129" s="144">
        <f>(F132+F136)/2</f>
        <v/>
      </c>
      <c r="H129" t="inlineStr">
        <is>
          <t>Moises Antonio Laureano Mateo</t>
        </is>
      </c>
      <c r="I129">
        <f>COUNTIFS('RequestStats'!E:E,Tabla79262713[[#This Row],[Gestores]], 'RequestStats'!C:C, "&gt;=" &amp; DATE(2026,4,1), 'RequestStats'!C:C, "&lt;=" &amp; DATE(2026,7,1))</f>
        <v/>
      </c>
      <c r="J129">
        <f>COUNTIFS('RequestStats'!I:I, "A tiempo", 'RequestStats'!E:E,Metricas!H129, 'RequestStats'!C:C, "&gt;=" &amp; DATE(2026,4,1), 'RequestStats'!C:C, "&lt;=" &amp; DATE(2026,7,1))</f>
        <v/>
      </c>
      <c r="K129">
        <f>COUNTIFS('RequestStats'!I:I, "Fuera de tiempo", 'RequestStats'!E:E,Metricas!H129, 'RequestStats'!C:C, "&gt;=" &amp; DATE(2026,4,1), 'RequestStats'!C:C, "&lt;=" &amp; DATE(2026,7,1))</f>
        <v/>
      </c>
      <c r="L129" s="12">
        <f>AVERAGEIFS('RequestStats'!H:H, 'RequestStats'!C:C, "&gt;=" &amp; DATE(2026,4,1), 'RequestStats'!C:C, "&lt;=" &amp; DATE(2026,7,1), 'RequestStats'!E:E, Tabla79262713[[#This Row],[Gestores]])</f>
        <v/>
      </c>
    </row>
    <row r="130" ht="15" customHeight="1">
      <c r="C130" s="38" t="inlineStr">
        <is>
          <t>Copia Digital</t>
        </is>
      </c>
      <c r="D130" s="39">
        <f>COUNTIFS('RequestStats'!C:C, "&gt;=" &amp; DATE(2026,4,1), 'RequestStats'!C:C, "&lt;=" &amp; DATE(2026,7,1), 'RequestStats'!F:F, "Dentro del Horario", 'RequestStats'!B:B, "Copia Digital" )</f>
        <v/>
      </c>
      <c r="E130" s="39">
        <f>COUNTIFS('RequestStats'!C:C, "&gt;=" &amp; DATE(2026,4,1), 'RequestStats'!C:C, "&lt;=" &amp; DATE(2026,7,1), 'RequestStats'!F:F, "Fuera de Horario", 'RequestStats'!B:B, "Copia Digital" )</f>
        <v/>
      </c>
      <c r="F130" s="38">
        <f>SUM(D130:E130)</f>
        <v/>
      </c>
      <c r="H130" s="27" t="inlineStr">
        <is>
          <t>Elvis Garibal Valdez Mejia</t>
        </is>
      </c>
      <c r="I130">
        <f>COUNTIFS('RequestStats'!E:E,Tabla79262713[[#This Row],[Gestores]], 'RequestStats'!C:C, "&gt;=" &amp; DATE(2026,4,1), 'RequestStats'!C:C, "&lt;=" &amp; DATE(2026,7,1))</f>
        <v/>
      </c>
      <c r="J130">
        <f>COUNTIFS('RequestStats'!I:I, "A tiempo", 'RequestStats'!E:E,Metricas!H130, 'RequestStats'!C:C, "&gt;=" &amp; DATE(2026,4,1), 'RequestStats'!C:C, "&lt;=" &amp; DATE(2026,7,1))</f>
        <v/>
      </c>
      <c r="K130">
        <f>COUNTIFS('RequestStats'!I:I, "Fuera de tiempo", 'RequestStats'!E:E,Metricas!H130, 'RequestStats'!C:C, "&gt;=" &amp; DATE(2026,4,1), 'RequestStats'!C:C, "&lt;=" &amp; DATE(2026,7,1))</f>
        <v/>
      </c>
      <c r="L130" s="12">
        <f>AVERAGEIFS('RequestStats'!H:H, 'RequestStats'!C:C, "&gt;=" &amp; DATE(2026,4,1), 'RequestStats'!C:C, "&lt;=" &amp; DATE(2026,7,1), 'RequestStats'!E:E, Tabla79262713[[#This Row],[Gestores]])</f>
        <v/>
      </c>
    </row>
    <row r="131" ht="15" customHeight="1">
      <c r="C131" s="38" t="inlineStr">
        <is>
          <t>Prestamo</t>
        </is>
      </c>
      <c r="D131" s="38">
        <f>COUNTIFS('RequestStats'!C:C, "&gt;=" &amp; DATE(2026,4,1), 'RequestStats'!C:C, "&lt;=" &amp; DATE(2026,7,1), 'RequestStats'!F:F, "Dentro del Horario", 'RequestStats'!B:B, "Prestamo" )</f>
        <v/>
      </c>
      <c r="E131" s="38">
        <f>COUNTIFS('RequestStats'!C:C, "&gt;=" &amp; DATE(2026,4,1), 'RequestStats'!C:C, "&lt;=" &amp; DATE(2026,7,1), 'RequestStats'!F:F, "Fuera de Horario", 'RequestStats'!B:B, "Prestamo" )</f>
        <v/>
      </c>
      <c r="F131" s="38">
        <f>SUM(D131:E131)</f>
        <v/>
      </c>
      <c r="H131" s="27" t="inlineStr">
        <is>
          <t>Jose Arturo Guzman Coste</t>
        </is>
      </c>
      <c r="I131">
        <f>COUNTIFS('RequestStats'!E:E,Tabla79262713[[#This Row],[Gestores]], 'RequestStats'!C:C, "&gt;=" &amp; DATE(2026,4,1), 'RequestStats'!C:C, "&lt;=" &amp; DATE(2026,7,1))</f>
        <v/>
      </c>
      <c r="J131">
        <f>COUNTIFS('RequestStats'!I:I, "A tiempo", 'RequestStats'!E:E,Metricas!H131, 'RequestStats'!C:C, "&gt;=" &amp; DATE(2026,4,1), 'RequestStats'!C:C, "&lt;=" &amp; DATE(2026,7,1))</f>
        <v/>
      </c>
      <c r="K131">
        <f>COUNTIFS('RequestStats'!I:I, "Fuera de tiempo", 'RequestStats'!E:E,Metricas!H131, 'RequestStats'!C:C, "&gt;=" &amp; DATE(2026,4,1), 'RequestStats'!C:C, "&lt;=" &amp; DATE(2026,7,1))</f>
        <v/>
      </c>
      <c r="L131" s="12">
        <f>AVERAGEIFS('RequestStats'!H:H, 'RequestStats'!C:C, "&gt;=" &amp; DATE(2026,4,1), 'RequestStats'!C:C, "&lt;=" &amp; DATE(2026,7,1), 'RequestStats'!E:E, Tabla79262713[[#This Row],[Gestores]])</f>
        <v/>
      </c>
    </row>
    <row r="132" ht="15" customHeight="1">
      <c r="C132" s="36" t="inlineStr">
        <is>
          <t>Total general</t>
        </is>
      </c>
      <c r="D132" s="37">
        <f>SUM(D130:D131)</f>
        <v/>
      </c>
      <c r="E132" s="37">
        <f>SUM(E130:E131)</f>
        <v/>
      </c>
      <c r="F132" s="37">
        <f>SUM(F130:F131)</f>
        <v/>
      </c>
      <c r="H132" s="8" t="inlineStr">
        <is>
          <t>Julio Adolfo Merino Feliciano</t>
        </is>
      </c>
      <c r="I132">
        <f>COUNTIFS('RequestStats'!E:E,Tabla79262713[[#This Row],[Gestores]], 'RequestStats'!C:C, "&gt;=" &amp; DATE(2026,4,1), 'RequestStats'!C:C, "&lt;=" &amp; DATE(2026,7,1))</f>
        <v/>
      </c>
      <c r="J132">
        <f>COUNTIFS('RequestStats'!I:I, "A tiempo", 'RequestStats'!E:E,Metricas!H132, 'RequestStats'!C:C, "&gt;=" &amp; DATE(2026,4,1), 'RequestStats'!C:C, "&lt;=" &amp; DATE(2026,7,1))</f>
        <v/>
      </c>
      <c r="K132">
        <f>COUNTIFS('RequestStats'!I:I, "Fuera de tiempo", 'RequestStats'!E:E,Metricas!H132, 'RequestStats'!C:C, "&gt;=" &amp; DATE(2026,4,1), 'RequestStats'!C:C, "&lt;=" &amp; DATE(2026,7,1))</f>
        <v/>
      </c>
      <c r="L132" s="12">
        <f>AVERAGEIFS('RequestStats'!H:H, 'RequestStats'!C:C, "&gt;=" &amp; DATE(2026,4,1), 'RequestStats'!C:C, "&lt;=" &amp; DATE(2026,7,1), 'RequestStats'!E:E, Tabla79262713[[#This Row],[Gestores]])</f>
        <v/>
      </c>
    </row>
    <row r="133" ht="15" customHeight="1">
      <c r="C133" s="36" t="inlineStr">
        <is>
          <t>Etiquetas de fila</t>
        </is>
      </c>
      <c r="D133" s="36" t="inlineStr">
        <is>
          <t>A tiempo</t>
        </is>
      </c>
      <c r="E133" s="36" t="inlineStr">
        <is>
          <t>Fuera de tiempo</t>
        </is>
      </c>
      <c r="F133" s="36" t="inlineStr">
        <is>
          <t>Total general</t>
        </is>
      </c>
      <c r="H133" s="8" t="inlineStr">
        <is>
          <t>Genaro Corporan B</t>
        </is>
      </c>
      <c r="I133">
        <f>COUNTIFS('RequestStats'!E:E,Tabla79262713[[#This Row],[Gestores]], 'RequestStats'!C:C, "&gt;=" &amp; DATE(2026,4,1), 'RequestStats'!C:C, "&lt;=" &amp; DATE(2026,7,1))</f>
        <v/>
      </c>
      <c r="J133">
        <f>COUNTIFS('RequestStats'!I:I, "A tiempo", 'RequestStats'!E:E,Metricas!H133, 'RequestStats'!C:C, "&gt;=" &amp; DATE(2026,4,1), 'RequestStats'!C:C, "&lt;=" &amp; DATE(2026,7,1))</f>
        <v/>
      </c>
      <c r="K133">
        <f>COUNTIFS('RequestStats'!I:I, "Fuera de tiempo", 'RequestStats'!E:E,Metricas!H133, 'RequestStats'!C:C, "&gt;=" &amp; DATE(2026,4,1), 'RequestStats'!C:C, "&lt;=" &amp; DATE(2026,7,1))</f>
        <v/>
      </c>
      <c r="L133" s="12">
        <f>AVERAGEIFS('RequestStats'!H:H, 'RequestStats'!C:C, "&gt;=" &amp; DATE(2026,4,1), 'RequestStats'!C:C, "&lt;=" &amp; DATE(2026,7,1), 'RequestStats'!E:E, Tabla79262713[[#This Row],[Gestores]])</f>
        <v/>
      </c>
    </row>
    <row r="134" ht="15" customHeight="1">
      <c r="C134" s="38" t="inlineStr">
        <is>
          <t>Copia Digital</t>
        </is>
      </c>
      <c r="D134" s="38">
        <f>COUNTIFS('RequestStats'!C:C, "&gt;=" &amp; DATE(2026,4,1), 'RequestStats'!C:C, "&lt;=" &amp; DATE(2026,7,1),'RequestStats'!B:B,"Copia Digital",'RequestStats'!I:I,"A tiempo")</f>
        <v/>
      </c>
      <c r="E134" s="38">
        <f>COUNTIFS('RequestStats'!C:C, "&gt;=" &amp; DATE(2026,4,1), 'RequestStats'!C:C, "&lt;=" &amp; DATE(2026,7,1),'RequestStats'!B:B,"Copia Digital",'RequestStats'!I:I,"Fuera de tiempo")</f>
        <v/>
      </c>
      <c r="F134" s="38">
        <f>SUM(D134:E134)</f>
        <v/>
      </c>
      <c r="H134" s="8" t="inlineStr">
        <is>
          <t>Gestor Documental</t>
        </is>
      </c>
      <c r="I134">
        <f>COUNTIFS('RequestStats'!E:E,Tabla79262713[[#This Row],[Gestores]], 'RequestStats'!C:C, "&gt;=" &amp; DATE(2026,4,1), 'RequestStats'!C:C, "&lt;=" &amp; DATE(2026,7,1))</f>
        <v/>
      </c>
      <c r="J134">
        <f>COUNTIFS('RequestStats'!I:I, "A tiempo", 'RequestStats'!E:E,Metricas!H134, 'RequestStats'!C:C, "&gt;=" &amp; DATE(2026,4,1), 'RequestStats'!C:C, "&lt;=" &amp; DATE(2026,7,1))</f>
        <v/>
      </c>
      <c r="K134">
        <f>COUNTIFS('RequestStats'!I:I, "Fuera de tiempo", 'RequestStats'!E:E,Metricas!H134, 'RequestStats'!C:C, "&gt;=" &amp; DATE(2026,4,1), 'RequestStats'!C:C, "&lt;=" &amp; DATE(2026,7,1))</f>
        <v/>
      </c>
      <c r="L134" s="12">
        <f>AVERAGEIFS('RequestStats'!H:H, 'RequestStats'!C:C, "&gt;=" &amp; DATE(2026,4,1), 'RequestStats'!C:C, "&lt;=" &amp; DATE(2026,7,1), 'RequestStats'!E:E, Tabla79262713[[#This Row],[Gestores]])</f>
        <v/>
      </c>
    </row>
    <row r="135" ht="15" customHeight="1">
      <c r="C135" s="38" t="inlineStr">
        <is>
          <t>Prestamo</t>
        </is>
      </c>
      <c r="D135" s="38">
        <f>COUNTIFS('RequestStats'!C:C, "&gt;=" &amp; DATE(2026,4,1), 'RequestStats'!C:C, "&lt;=" &amp; DATE(2026,7,1),'RequestStats'!B:B,"Prestamo",'RequestStats'!I:I,"A tiempo")</f>
        <v/>
      </c>
      <c r="E135" s="38">
        <f>COUNTIFS('RequestStats'!C:C, "&gt;=" &amp; DATE(2026,4,1), 'RequestStats'!C:C, "&lt;=" &amp; DATE(2026,7,1),'RequestStats'!B:B,"Prestamo",'RequestStats'!I:I,"Fuera de tiempo")</f>
        <v/>
      </c>
      <c r="F135" s="38">
        <f>SUM(D135:E135)</f>
        <v/>
      </c>
      <c r="L135" s="12" t="n"/>
    </row>
    <row r="136" ht="15" customHeight="1">
      <c r="C136" s="36" t="inlineStr">
        <is>
          <t>Total general</t>
        </is>
      </c>
      <c r="D136" s="37">
        <f>SUM(D134:D135)</f>
        <v/>
      </c>
      <c r="E136" s="37">
        <f>SUM(E134:E135)</f>
        <v/>
      </c>
      <c r="F136" s="37">
        <f>SUM(F134:F135)</f>
        <v/>
      </c>
      <c r="L136" s="12" t="n"/>
    </row>
    <row r="137">
      <c r="L137" s="12" t="n"/>
    </row>
    <row r="138">
      <c r="L138" s="12" t="n"/>
    </row>
    <row r="139"/>
    <row r="140"/>
    <row r="141"/>
    <row r="142"/>
    <row r="143"/>
    <row r="144"/>
    <row r="145"/>
    <row r="146">
      <c r="L146" s="12" t="n"/>
    </row>
    <row r="147">
      <c r="L147" s="12" t="n"/>
    </row>
    <row r="148">
      <c r="L148" s="12" t="n"/>
    </row>
    <row r="149"/>
    <row r="150"/>
    <row r="151"/>
    <row r="152"/>
    <row r="153"/>
    <row r="154"/>
    <row r="155"/>
    <row r="156">
      <c r="L156" s="12" t="n"/>
    </row>
    <row r="157">
      <c r="L157" s="12" t="n"/>
    </row>
    <row r="158">
      <c r="L158" s="12" t="n"/>
    </row>
    <row r="159">
      <c r="L159" s="12" t="n"/>
    </row>
    <row r="160"/>
    <row r="161"/>
    <row r="162"/>
    <row r="163"/>
    <row r="164"/>
    <row r="165"/>
    <row r="166"/>
    <row r="167">
      <c r="L167" s="12" t="n"/>
    </row>
    <row r="168">
      <c r="L168" s="12" t="n"/>
    </row>
    <row r="169">
      <c r="L169" s="12" t="n"/>
    </row>
    <row r="170"/>
    <row r="171"/>
    <row r="172"/>
    <row r="173"/>
    <row r="174"/>
    <row r="175"/>
    <row r="176"/>
    <row r="177">
      <c r="L177" s="12" t="n"/>
    </row>
    <row r="178">
      <c r="L178" s="12" t="n"/>
    </row>
    <row r="179">
      <c r="L179" s="12" t="n"/>
    </row>
    <row r="180">
      <c r="L180" s="12" t="n"/>
    </row>
    <row r="181"/>
    <row r="182"/>
    <row r="183">
      <c r="C183" s="151" t="inlineStr">
        <is>
          <t>Trimestre 3 - Stats</t>
        </is>
      </c>
      <c r="H183" s="151" t="inlineStr">
        <is>
          <t>Trimestre 3 - Stats</t>
        </is>
      </c>
    </row>
    <row r="184">
      <c r="C184" s="152" t="n"/>
    </row>
    <row r="185">
      <c r="C185" s="156" t="inlineStr">
        <is>
          <t>Metas del  tiempo</t>
        </is>
      </c>
      <c r="D185" s="157" t="n"/>
      <c r="E185" s="158" t="n"/>
      <c r="F185" s="150" t="inlineStr">
        <is>
          <t>PRUDENCIA</t>
        </is>
      </c>
      <c r="G185" s="158" t="n"/>
      <c r="H185" t="inlineStr">
        <is>
          <t>Gestores</t>
        </is>
      </c>
      <c r="I185" t="inlineStr">
        <is>
          <t>Total</t>
        </is>
      </c>
      <c r="J185" t="inlineStr">
        <is>
          <t>A tiempo</t>
        </is>
      </c>
      <c r="K185" t="inlineStr">
        <is>
          <t>Fuera de tiempo</t>
        </is>
      </c>
      <c r="L185" t="inlineStr">
        <is>
          <t>Promedio</t>
        </is>
      </c>
    </row>
    <row r="186">
      <c r="C186" s="22" t="inlineStr">
        <is>
          <t>A tiempo</t>
        </is>
      </c>
      <c r="D186" t="inlineStr">
        <is>
          <t>Fuera de tiempo</t>
        </is>
      </c>
      <c r="E186" s="23" t="inlineStr">
        <is>
          <t>Promedio Tiempo de respuesta</t>
        </is>
      </c>
      <c r="F186" s="26" t="inlineStr">
        <is>
          <t>Dentro del horario</t>
        </is>
      </c>
      <c r="G186" s="19" t="inlineStr">
        <is>
          <t>Fuera de horario</t>
        </is>
      </c>
      <c r="H186" t="inlineStr">
        <is>
          <t>Andersson Beltre</t>
        </is>
      </c>
      <c r="I186">
        <f>COUNTIFS('RequestStats'!E:E,Tabla7926271316[[#This Row],[Gestores]], 'RequestStats'!C:C, "&gt;=" &amp; DATE(2026,7,1), 'RequestStats'!C:C, "&lt;=" &amp; DATE(2026,10,1))</f>
        <v/>
      </c>
      <c r="J186">
        <f>COUNTIFS('RequestStats'!I:I, "A tiempo", 'RequestStats'!E:E,Metricas!H186, 'RequestStats'!C:C, "&gt;=" &amp; DATE(2026,7,1), 'RequestStats'!C:C, "&lt;=" &amp; DATE(2026,10,1))</f>
        <v/>
      </c>
      <c r="K186">
        <f>COUNTIFS('RequestStats'!I:I, "Fuera de tiempo", 'RequestStats'!E:E,Metricas!H186, 'RequestStats'!C:C, "&gt;=" &amp; DATE(2026,7,1), 'RequestStats'!C:C, "&lt;=" &amp; DATE(2026,10,1))</f>
        <v/>
      </c>
      <c r="L186" s="12">
        <f>AVERAGEIFS('RequestStats'!H:H, 'RequestStats'!C:C, "&gt;=" &amp; DATE(2026,7,1), 'RequestStats'!C:C, "&lt;=" &amp; DATE(2026,10,1), 'RequestStats'!E:E, Tabla7926271316[[#This Row],[Gestores]])</f>
        <v/>
      </c>
    </row>
    <row r="187">
      <c r="C187" s="20">
        <f>COUNTIFS('RequestStats'!H:H, "&lt;=02:00:00", 'RequestStats'!C:C, "&gt;=" &amp; DATE(2026,7,1), 'RequestStats'!C:C, "&lt;=" &amp; DATE(2026,10,1))</f>
        <v/>
      </c>
      <c r="D187" s="24">
        <f>COUNTIFS('RequestStats'!H:H, "&gt;02:00:01", 'RequestStats'!C:C, "&gt;=" &amp; DATE(2026,7,1), 'RequestStats'!C:C, "&lt;=" &amp; DATE(2026,10,1))</f>
        <v/>
      </c>
      <c r="E187" s="25">
        <f>AVERAGEIFS('RequestStats'!H:H,'RequestStats'!C:C, "&lt;=" &amp; DATE(2026,10,1), 'RequestStats'!C:C, "&gt;=" &amp; DATE(2026,7,1))</f>
        <v/>
      </c>
      <c r="F187" s="24">
        <f>COUNTIFS('RequestStats'!C:C, "&gt;=" &amp; DATE(2026,7,1), 'RequestStats'!C:C, "&lt;=" &amp; DATE(2026,10,1), 'RequestStats'!F:F, "Dentro del Horario")</f>
        <v/>
      </c>
      <c r="G187" s="21">
        <f>COUNTIFS('RequestStats'!C:C, "&gt;=" &amp; DATE(2026,7,1), 'RequestStats'!C:C, "&lt;=" &amp; DATE(2026,10,1), 'RequestStats'!F:F, "Fuera de Horario")</f>
        <v/>
      </c>
      <c r="H187" s="27" t="inlineStr">
        <is>
          <t>Federico Arsenio Lachapel</t>
        </is>
      </c>
      <c r="I187">
        <f>COUNTIFS('RequestStats'!E:E,Tabla7926271316[[#This Row],[Gestores]], 'RequestStats'!C:C, "&gt;=" &amp; DATE(2026,7,1), 'RequestStats'!C:C, "&lt;=" &amp; DATE(2026,10,1))</f>
        <v/>
      </c>
      <c r="J187">
        <f>COUNTIFS('RequestStats'!I:I, "A tiempo", 'RequestStats'!E:E,Metricas!H187, 'RequestStats'!C:C, "&gt;=" &amp; DATE(2026,7,1), 'RequestStats'!C:C, "&lt;=" &amp; DATE(2026,10,1))</f>
        <v/>
      </c>
      <c r="K187">
        <f>COUNTIFS('RequestStats'!I:I, "Fuera de tiempo", 'RequestStats'!E:E,Metricas!H187, 'RequestStats'!C:C, "&gt;=" &amp; DATE(2026,7,1), 'RequestStats'!C:C, "&lt;=" &amp; DATE(2026,10,1))</f>
        <v/>
      </c>
      <c r="L187" s="12">
        <f>AVERAGEIFS('RequestStats'!H:H, 'RequestStats'!C:C, "&gt;=" &amp; DATE(2026,7,1), 'RequestStats'!C:C, "&lt;=" &amp; DATE(2026,10,1), 'RequestStats'!E:E, Tabla7926271316[[#This Row],[Gestores]])</f>
        <v/>
      </c>
    </row>
    <row r="188">
      <c r="C188" s="36" t="inlineStr">
        <is>
          <t>Trimestre 3 - Stats</t>
        </is>
      </c>
      <c r="D188" s="36" t="inlineStr">
        <is>
          <t>Abril - Junio</t>
        </is>
      </c>
      <c r="E188" s="36" t="inlineStr">
        <is>
          <t>Año</t>
        </is>
      </c>
      <c r="F188" s="36" t="n">
        <v>2026</v>
      </c>
      <c r="G188" s="145" t="inlineStr">
        <is>
          <t>Total:</t>
        </is>
      </c>
      <c r="H188" t="inlineStr">
        <is>
          <t>Julio Angel Thomas GarcIa</t>
        </is>
      </c>
      <c r="I188">
        <f>COUNTIFS('RequestStats'!E:E,Tabla7926271316[[#This Row],[Gestores]], 'RequestStats'!C:C, "&gt;=" &amp; DATE(2026,7,1), 'RequestStats'!C:C, "&lt;=" &amp; DATE(2026,10,1))</f>
        <v/>
      </c>
      <c r="J188">
        <f>COUNTIFS('RequestStats'!I:I, "A tiempo", 'RequestStats'!E:E,Metricas!H188, 'RequestStats'!C:C, "&gt;=" &amp; DATE(2026,7,1), 'RequestStats'!C:C, "&lt;=" &amp; DATE(2026,10,1))</f>
        <v/>
      </c>
      <c r="K188">
        <f>COUNTIFS('RequestStats'!I:I, "Fuera de tiempo", 'RequestStats'!E:E,Metricas!H188, 'RequestStats'!C:C, "&gt;=" &amp; DATE(2026,7,1), 'RequestStats'!C:C, "&lt;=" &amp; DATE(2026,10,1))</f>
        <v/>
      </c>
      <c r="L188" s="12">
        <f>AVERAGEIFS('RequestStats'!H:H, 'RequestStats'!C:C, "&gt;=" &amp; DATE(2026,7,1), 'RequestStats'!C:C, "&lt;=" &amp; DATE(2026,10,1), 'RequestStats'!E:E, Tabla7926271316[[#This Row],[Gestores]])</f>
        <v/>
      </c>
    </row>
    <row r="189">
      <c r="C189" s="36" t="inlineStr">
        <is>
          <t>Cuenta de Solicitud</t>
        </is>
      </c>
      <c r="D189" s="36" t="n"/>
      <c r="E189" s="36" t="n"/>
      <c r="F189" s="36" t="n"/>
      <c r="H189" s="27" t="inlineStr">
        <is>
          <t>Jose Manuel Polanco Mercedes</t>
        </is>
      </c>
      <c r="I189">
        <f>COUNTIFS('RequestStats'!E:E,Tabla7926271316[[#This Row],[Gestores]], 'RequestStats'!C:C, "&gt;=" &amp; DATE(2026,7,1), 'RequestStats'!C:C, "&lt;=" &amp; DATE(2026,10,1))</f>
        <v/>
      </c>
      <c r="J189">
        <f>COUNTIFS('RequestStats'!I:I, "A tiempo", 'RequestStats'!E:E,Metricas!H189, 'RequestStats'!C:C, "&gt;=" &amp; DATE(2026,7,1), 'RequestStats'!C:C, "&lt;=" &amp; DATE(2026,10,1))</f>
        <v/>
      </c>
      <c r="K189">
        <f>COUNTIFS('RequestStats'!I:I, "Fuera de tiempo", 'RequestStats'!E:E,Metricas!H189, 'RequestStats'!C:C, "&gt;=" &amp; DATE(2026,7,1), 'RequestStats'!C:C, "&lt;=" &amp; DATE(2026,10,1))</f>
        <v/>
      </c>
      <c r="L189" s="12">
        <f>AVERAGEIFS('RequestStats'!H:H, 'RequestStats'!C:C, "&gt;=" &amp; DATE(2026,7,1), 'RequestStats'!C:C, "&lt;=" &amp; DATE(2026,10,1), 'RequestStats'!E:E, Tabla7926271316[[#This Row],[Gestores]])</f>
        <v/>
      </c>
    </row>
    <row r="190">
      <c r="C190" s="36" t="inlineStr">
        <is>
          <t>Etiquetas de fila</t>
        </is>
      </c>
      <c r="D190" s="36" t="inlineStr">
        <is>
          <t>Dentro del horario</t>
        </is>
      </c>
      <c r="E190" s="36" t="inlineStr">
        <is>
          <t>Fuera de horario</t>
        </is>
      </c>
      <c r="F190" s="36" t="inlineStr">
        <is>
          <t>Total general</t>
        </is>
      </c>
      <c r="G190" s="144">
        <f>(F193+F197)/2</f>
        <v/>
      </c>
      <c r="H190" t="inlineStr">
        <is>
          <t>Moises Antonio Laureano Mateo</t>
        </is>
      </c>
      <c r="I190">
        <f>COUNTIFS('RequestStats'!E:E,Tabla7926271316[[#This Row],[Gestores]], 'RequestStats'!C:C, "&gt;=" &amp; DATE(2026,7,1), 'RequestStats'!C:C, "&lt;=" &amp; DATE(2026,10,1))</f>
        <v/>
      </c>
      <c r="J190">
        <f>COUNTIFS('RequestStats'!I:I, "A tiempo", 'RequestStats'!E:E,Metricas!H190, 'RequestStats'!C:C, "&gt;=" &amp; DATE(2026,7,1), 'RequestStats'!C:C, "&lt;=" &amp; DATE(2026,10,1))</f>
        <v/>
      </c>
      <c r="K190">
        <f>COUNTIFS('RequestStats'!I:I, "Fuera de tiempo", 'RequestStats'!E:E,Metricas!H190, 'RequestStats'!C:C, "&gt;=" &amp; DATE(2026,7,1), 'RequestStats'!C:C, "&lt;=" &amp; DATE(2026,10,1))</f>
        <v/>
      </c>
      <c r="L190" s="12">
        <f>AVERAGEIFS('RequestStats'!H:H, 'RequestStats'!C:C, "&gt;=" &amp; DATE(2026,7,1), 'RequestStats'!C:C, "&lt;=" &amp; DATE(2026,10,1), 'RequestStats'!E:E, Tabla7926271316[[#This Row],[Gestores]])</f>
        <v/>
      </c>
    </row>
    <row r="191">
      <c r="C191" s="38" t="inlineStr">
        <is>
          <t>Copia Digital</t>
        </is>
      </c>
      <c r="D191" s="39">
        <f>COUNTIFS('RequestStats'!C:C, "&gt;=" &amp; DATE(2026,7,1), 'RequestStats'!C:C, "&lt;=" &amp; DATE(2026,10,1), 'RequestStats'!F:F, "Dentro del Horario", 'RequestStats'!B:B, "Copia Digital" )</f>
        <v/>
      </c>
      <c r="E191" s="39">
        <f>COUNTIFS('RequestStats'!C:C, "&gt;=" &amp; DATE(2026,7,1), 'RequestStats'!C:C, "&lt;=" &amp; DATE(2026,10,1), 'RequestStats'!F:F, "Fuera de Horario", 'RequestStats'!B:B, "Copia Digital" )</f>
        <v/>
      </c>
      <c r="F191" s="38">
        <f>SUM(D191:E191)</f>
        <v/>
      </c>
      <c r="H191" s="27" t="inlineStr">
        <is>
          <t>Elvis Garibal Valdez Mejia</t>
        </is>
      </c>
      <c r="I191">
        <f>COUNTIFS('RequestStats'!E:E,Tabla7926271316[[#This Row],[Gestores]], 'RequestStats'!C:C, "&gt;=" &amp; DATE(2026,7,1), 'RequestStats'!C:C, "&lt;=" &amp; DATE(2026,10,1))</f>
        <v/>
      </c>
      <c r="J191">
        <f>COUNTIFS('RequestStats'!I:I, "A tiempo", 'RequestStats'!E:E,Metricas!H191, 'RequestStats'!C:C, "&gt;=" &amp; DATE(2026,7,1), 'RequestStats'!C:C, "&lt;=" &amp; DATE(2026,10,1))</f>
        <v/>
      </c>
      <c r="K191">
        <f>COUNTIFS('RequestStats'!I:I, "Fuera de tiempo", 'RequestStats'!E:E,Metricas!H191, 'RequestStats'!C:C, "&gt;=" &amp; DATE(2026,7,1), 'RequestStats'!C:C, "&lt;=" &amp; DATE(2026,10,1))</f>
        <v/>
      </c>
      <c r="L191" s="12">
        <f>AVERAGEIFS('RequestStats'!H:H, 'RequestStats'!C:C, "&gt;=" &amp; DATE(2026,7,1), 'RequestStats'!C:C, "&lt;=" &amp; DATE(2026,10,1), 'RequestStats'!E:E, Tabla7926271316[[#This Row],[Gestores]])</f>
        <v/>
      </c>
    </row>
    <row r="192">
      <c r="C192" s="38" t="inlineStr">
        <is>
          <t>Prestamo</t>
        </is>
      </c>
      <c r="D192" s="38">
        <f>COUNTIFS('RequestStats'!C:C, "&gt;=" &amp; DATE(2026,7,1), 'RequestStats'!C:C, "&lt;=" &amp; DATE(2026,10,1), 'RequestStats'!F:F, "Dentro del Horario", 'RequestStats'!B:B, "Prestamo" )</f>
        <v/>
      </c>
      <c r="E192" s="38">
        <f>COUNTIFS('RequestStats'!C:C, "&gt;=" &amp; DATE(2026,7,1), 'RequestStats'!C:C, "&lt;=" &amp; DATE(2026,10,1), 'RequestStats'!F:F, "Fuera de Horario", 'RequestStats'!B:B, "Prestamo" )</f>
        <v/>
      </c>
      <c r="F192" s="38">
        <f>SUM(D192:E192)</f>
        <v/>
      </c>
      <c r="H192" s="27" t="inlineStr">
        <is>
          <t>Jose Arturo Guzman Coste</t>
        </is>
      </c>
      <c r="I192">
        <f>COUNTIFS('RequestStats'!E:E,Tabla7926271316[[#This Row],[Gestores]], 'RequestStats'!C:C, "&gt;=" &amp; DATE(2026,7,1), 'RequestStats'!C:C, "&lt;=" &amp; DATE(2026,10,1))</f>
        <v/>
      </c>
      <c r="J192">
        <f>COUNTIFS('RequestStats'!I:I, "A tiempo", 'RequestStats'!E:E,Metricas!H192, 'RequestStats'!C:C, "&gt;=" &amp; DATE(2026,7,1), 'RequestStats'!C:C, "&lt;=" &amp; DATE(2026,10,1))</f>
        <v/>
      </c>
      <c r="K192">
        <f>COUNTIFS('RequestStats'!I:I, "Fuera de tiempo", 'RequestStats'!E:E,Metricas!H192, 'RequestStats'!C:C, "&gt;=" &amp; DATE(2026,7,1), 'RequestStats'!C:C, "&lt;=" &amp; DATE(2026,10,1))</f>
        <v/>
      </c>
      <c r="L192" s="12">
        <f>AVERAGEIFS('RequestStats'!H:H, 'RequestStats'!C:C, "&gt;=" &amp; DATE(2026,7,1), 'RequestStats'!C:C, "&lt;=" &amp; DATE(2026,10,1), 'RequestStats'!E:E, Tabla7926271316[[#This Row],[Gestores]])</f>
        <v/>
      </c>
    </row>
    <row r="193">
      <c r="C193" s="36" t="inlineStr">
        <is>
          <t>Total general</t>
        </is>
      </c>
      <c r="D193" s="37">
        <f>SUM(D191:D192)</f>
        <v/>
      </c>
      <c r="E193" s="37">
        <f>SUM(E191:E192)</f>
        <v/>
      </c>
      <c r="F193" s="37">
        <f>SUM(F191:F192)</f>
        <v/>
      </c>
      <c r="H193" s="8" t="inlineStr">
        <is>
          <t>Julio Adolfo Merino Feliciano</t>
        </is>
      </c>
      <c r="I193">
        <f>COUNTIFS('RequestStats'!E:E,Tabla7926271316[[#This Row],[Gestores]], 'RequestStats'!C:C, "&gt;=" &amp; DATE(2026,7,1), 'RequestStats'!C:C, "&lt;=" &amp; DATE(2026,10,1))</f>
        <v/>
      </c>
      <c r="J193">
        <f>COUNTIFS('RequestStats'!I:I, "A tiempo", 'RequestStats'!E:E,Metricas!H193, 'RequestStats'!C:C, "&gt;=" &amp; DATE(2026,7,1), 'RequestStats'!C:C, "&lt;=" &amp; DATE(2026,10,1))</f>
        <v/>
      </c>
      <c r="K193">
        <f>COUNTIFS('RequestStats'!I:I, "Fuera de tiempo", 'RequestStats'!E:E,Metricas!H193, 'RequestStats'!C:C, "&gt;=" &amp; DATE(2026,7,1), 'RequestStats'!C:C, "&lt;=" &amp; DATE(2026,10,1))</f>
        <v/>
      </c>
      <c r="L193" s="12">
        <f>AVERAGEIFS('RequestStats'!H:H, 'RequestStats'!C:C, "&gt;=" &amp; DATE(2026,7,1), 'RequestStats'!C:C, "&lt;=" &amp; DATE(2026,10,1), 'RequestStats'!E:E, Tabla7926271316[[#This Row],[Gestores]])</f>
        <v/>
      </c>
    </row>
    <row r="194">
      <c r="C194" s="36" t="inlineStr">
        <is>
          <t>Etiquetas de fila</t>
        </is>
      </c>
      <c r="D194" s="36" t="inlineStr">
        <is>
          <t>A tiempo</t>
        </is>
      </c>
      <c r="E194" s="36" t="inlineStr">
        <is>
          <t>Fuera de tiempo</t>
        </is>
      </c>
      <c r="F194" s="36" t="inlineStr">
        <is>
          <t>Total general</t>
        </is>
      </c>
      <c r="H194" s="8" t="inlineStr">
        <is>
          <t>Genaro Corporan B</t>
        </is>
      </c>
      <c r="I194">
        <f>COUNTIFS('RequestStats'!E:E,Tabla7926271316[[#This Row],[Gestores]], 'RequestStats'!C:C, "&gt;=" &amp; DATE(2026,7,1), 'RequestStats'!C:C, "&lt;=" &amp; DATE(2026,10,1))</f>
        <v/>
      </c>
      <c r="J194">
        <f>COUNTIFS('RequestStats'!I:I, "A tiempo", 'RequestStats'!E:E,Metricas!H194, 'RequestStats'!C:C, "&gt;=" &amp; DATE(2026,7,1), 'RequestStats'!C:C, "&lt;=" &amp; DATE(2026,10,1))</f>
        <v/>
      </c>
      <c r="K194">
        <f>COUNTIFS('RequestStats'!I:I, "Fuera de tiempo", 'RequestStats'!E:E,Metricas!H194, 'RequestStats'!C:C, "&gt;=" &amp; DATE(2026,7,1), 'RequestStats'!C:C, "&lt;=" &amp; DATE(2026,10,1))</f>
        <v/>
      </c>
      <c r="L194" s="12">
        <f>AVERAGEIFS('RequestStats'!H:H, 'RequestStats'!C:C, "&gt;=" &amp; DATE(2026,7,1), 'RequestStats'!C:C, "&lt;=" &amp; DATE(2026,10,1), 'RequestStats'!E:E, Tabla7926271316[[#This Row],[Gestores]])</f>
        <v/>
      </c>
      <c r="O194" s="57" t="n"/>
    </row>
    <row r="195">
      <c r="C195" s="38" t="inlineStr">
        <is>
          <t>Copia Digital</t>
        </is>
      </c>
      <c r="D195" s="38">
        <f>COUNTIFS('RequestStats'!C:C, "&gt;=" &amp; DATE(2026,7,1), 'RequestStats'!C:C, "&lt;=" &amp; DATE(2026,10,1),'RequestStats'!B:B,"Copia Digital",'RequestStats'!I:I,"A tiempo")</f>
        <v/>
      </c>
      <c r="E195" s="38">
        <f>COUNTIFS('RequestStats'!C:C, "&gt;=" &amp; DATE(2026,7,1), 'RequestStats'!C:C, "&lt;=" &amp; DATE(2026,10,1),'RequestStats'!B:B,"Copia Digital",'RequestStats'!I:I,"Fuera de tiempo")</f>
        <v/>
      </c>
      <c r="F195" s="38">
        <f>SUM(D195:E195)</f>
        <v/>
      </c>
      <c r="H195" s="8" t="inlineStr">
        <is>
          <t>Gestor Documental</t>
        </is>
      </c>
      <c r="I195">
        <f>COUNTIFS('RequestStats'!E:E,Tabla7926271316[[#This Row],[Gestores]], 'RequestStats'!C:C, "&gt;=" &amp; DATE(2026,7,1), 'RequestStats'!C:C, "&lt;=" &amp; DATE(2026,10,1))</f>
        <v/>
      </c>
      <c r="J195">
        <f>COUNTIFS('RequestStats'!I:I, "A tiempo", 'RequestStats'!E:E,Metricas!H195, 'RequestStats'!C:C, "&gt;=" &amp; DATE(2026,7,1), 'RequestStats'!C:C, "&lt;=" &amp; DATE(2026,10,1))</f>
        <v/>
      </c>
      <c r="K195">
        <f>COUNTIFS('RequestStats'!I:I, "Fuera de tiempo", 'RequestStats'!E:E,Metricas!H195, 'RequestStats'!C:C, "&gt;=" &amp; DATE(2026,7,1), 'RequestStats'!C:C, "&lt;=" &amp; DATE(2026,10,1))</f>
        <v/>
      </c>
      <c r="L195" s="12">
        <f>AVERAGEIFS('RequestStats'!H:H, 'RequestStats'!C:C, "&gt;=" &amp; DATE(2026,7,1), 'RequestStats'!C:C, "&lt;=" &amp; DATE(2026,10,1), 'RequestStats'!E:E, Tabla7926271316[[#This Row],[Gestores]])</f>
        <v/>
      </c>
    </row>
    <row r="196">
      <c r="C196" s="38" t="inlineStr">
        <is>
          <t>Prestamo</t>
        </is>
      </c>
      <c r="D196" s="38">
        <f>COUNTIFS('RequestStats'!C:C, "&gt;=" &amp; DATE(2026,7,1), 'RequestStats'!C:C, "&lt;=" &amp; DATE(2026,10,1),'RequestStats'!B:B,"Prestamo",'RequestStats'!I:I,"A tiempo")</f>
        <v/>
      </c>
      <c r="E196" s="38">
        <f>COUNTIFS('RequestStats'!C:C, "&gt;=" &amp; DATE(2026,7,1), 'RequestStats'!C:C, "&lt;=" &amp; DATE(2026,10,1),'RequestStats'!B:B,"Prestamo",'RequestStats'!I:I,"Fuera de tiempo")</f>
        <v/>
      </c>
      <c r="F196" s="38">
        <f>SUM(D196:E196)</f>
        <v/>
      </c>
      <c r="L196" s="12" t="n"/>
    </row>
    <row r="197">
      <c r="C197" s="36" t="inlineStr">
        <is>
          <t>Total general</t>
        </is>
      </c>
      <c r="D197" s="37">
        <f>SUM(D195:D196)</f>
        <v/>
      </c>
      <c r="E197" s="37">
        <f>SUM(E195:E196)</f>
        <v/>
      </c>
      <c r="F197" s="37">
        <f>SUM(F195:F196)</f>
        <v/>
      </c>
      <c r="L197" s="12" t="n"/>
    </row>
    <row r="198">
      <c r="L198" s="12" t="n"/>
    </row>
    <row r="199">
      <c r="L199" s="12" t="n"/>
    </row>
    <row r="200"/>
    <row r="201"/>
    <row r="202"/>
    <row r="203"/>
    <row r="204"/>
    <row r="205"/>
    <row r="206"/>
    <row r="207">
      <c r="L207" s="12" t="n"/>
    </row>
    <row r="208">
      <c r="L208" s="12" t="n"/>
    </row>
    <row r="209">
      <c r="L209" s="12" t="n"/>
    </row>
    <row r="210"/>
    <row r="211"/>
    <row r="212"/>
    <row r="213"/>
    <row r="214"/>
    <row r="215"/>
    <row r="216"/>
    <row r="217">
      <c r="L217" s="12" t="n"/>
    </row>
    <row r="218">
      <c r="L218" s="12" t="n"/>
    </row>
    <row r="219">
      <c r="L219" s="12" t="n"/>
    </row>
    <row r="220">
      <c r="L220" s="12" t="n"/>
    </row>
    <row r="221"/>
    <row r="222"/>
    <row r="223"/>
    <row r="224"/>
    <row r="225"/>
    <row r="226"/>
    <row r="227"/>
    <row r="228">
      <c r="L228" s="12" t="n"/>
    </row>
    <row r="229">
      <c r="L229" s="12" t="n"/>
    </row>
    <row r="230">
      <c r="L230" s="12" t="n"/>
    </row>
    <row r="231"/>
    <row r="232"/>
    <row r="233"/>
    <row r="234"/>
    <row r="235"/>
    <row r="236"/>
    <row r="237"/>
    <row r="238">
      <c r="L238" s="12" t="n"/>
    </row>
    <row r="239">
      <c r="L239" s="12" t="n"/>
    </row>
    <row r="240">
      <c r="L240" s="12" t="n"/>
    </row>
    <row r="241">
      <c r="L241" s="12" t="n"/>
    </row>
    <row r="242"/>
    <row r="243"/>
    <row r="244">
      <c r="C244" s="151" t="inlineStr">
        <is>
          <t>Trimestre 4 - Stats</t>
        </is>
      </c>
      <c r="H244" s="151" t="inlineStr">
        <is>
          <t>Trimestre 4 - Stats</t>
        </is>
      </c>
    </row>
    <row r="245">
      <c r="C245" s="152" t="n"/>
    </row>
    <row r="246">
      <c r="C246" s="156" t="inlineStr">
        <is>
          <t>Metas del  tiempo</t>
        </is>
      </c>
      <c r="D246" s="157" t="n"/>
      <c r="E246" s="158" t="n"/>
      <c r="F246" s="150" t="inlineStr">
        <is>
          <t>PRUDENCIA</t>
        </is>
      </c>
      <c r="G246" s="158" t="n"/>
      <c r="H246" t="inlineStr">
        <is>
          <t>Gestores</t>
        </is>
      </c>
      <c r="I246" t="inlineStr">
        <is>
          <t>Total</t>
        </is>
      </c>
      <c r="J246" t="inlineStr">
        <is>
          <t>A tiempo</t>
        </is>
      </c>
      <c r="K246" t="inlineStr">
        <is>
          <t>Fuera de tiempo</t>
        </is>
      </c>
      <c r="L246" t="inlineStr">
        <is>
          <t>Promedio</t>
        </is>
      </c>
    </row>
    <row r="247">
      <c r="C247" s="22" t="inlineStr">
        <is>
          <t>A tiempo</t>
        </is>
      </c>
      <c r="D247" t="inlineStr">
        <is>
          <t>Fuera de tiempo</t>
        </is>
      </c>
      <c r="E247" s="23" t="inlineStr">
        <is>
          <t>Promedio Tiempo de respuesta</t>
        </is>
      </c>
      <c r="F247" s="26" t="inlineStr">
        <is>
          <t>Dentro del horario</t>
        </is>
      </c>
      <c r="G247" s="19" t="inlineStr">
        <is>
          <t>Fuera de horario</t>
        </is>
      </c>
      <c r="H247" t="inlineStr">
        <is>
          <t>Andersson Beltre</t>
        </is>
      </c>
      <c r="I247">
        <f>COUNTIFS('RequestStats'!E:E,Tabla79262713167[[#This Row],[Gestores]], 'RequestStats'!C:C, "&gt;=" &amp; DATE(2026,10,1), 'RequestStats'!C:C, "&lt;=" &amp; DATE(2026,12,1))</f>
        <v/>
      </c>
      <c r="J247">
        <f>COUNTIFS('RequestStats'!I:I, "A tiempo", 'RequestStats'!E:E,Metricas!H247, 'RequestStats'!C:C, "&gt;=" &amp; DATE(2026,10,1), 'RequestStats'!C:C, "&lt;=" &amp; DATE(2026,12,1))</f>
        <v/>
      </c>
      <c r="K247">
        <f>COUNTIFS('RequestStats'!I:I, "Fuera de tiempo", 'RequestStats'!E:E,Metricas!H247, 'RequestStats'!C:C, "&gt;=" &amp; DATE(2026,10,1), 'RequestStats'!C:C, "&lt;=" &amp; DATE(2026,12,1))</f>
        <v/>
      </c>
      <c r="L247" s="12">
        <f>AVERAGEIFS('RequestStats'!H:H, 'RequestStats'!C:C, "&gt;=" &amp; DATE(2026,10,1), 'RequestStats'!C:C, "&lt;=" &amp; DATE(2026,12,1), 'RequestStats'!E:E, Tabla79262713167[[#This Row],[Gestores]])</f>
        <v/>
      </c>
    </row>
    <row r="248">
      <c r="C248" s="20">
        <f>COUNTIFS('RequestStats'!H:H, "&lt;=02:00:00", 'RequestStats'!C:C, "&gt;=" &amp; DATE(2026,10,1), 'RequestStats'!C:C, "&lt;=" &amp; DATE(2026,12,1))</f>
        <v/>
      </c>
      <c r="D248" s="24">
        <f>COUNTIFS('RequestStats'!H:H, "&gt;02:00:01", 'RequestStats'!C:C, "&gt;=" &amp; DATE(2026,10,1), 'RequestStats'!C:C, "&lt;=" &amp; DATE(2026,12,1))</f>
        <v/>
      </c>
      <c r="E248" s="25">
        <f>AVERAGEIFS('RequestStats'!H:H,'RequestStats'!C:C, "&lt;=" &amp; DATE(2026,12,1), 'RequestStats'!C:C, "&gt;=" &amp; DATE(2026,10,1))</f>
        <v/>
      </c>
      <c r="F248" s="24">
        <f>COUNTIFS('RequestStats'!C:C, "&gt;=" &amp; DATE(2026,10,1), 'RequestStats'!C:C, "&lt;=" &amp; DATE(2026,12,1), 'RequestStats'!F:F, "Dentro del Horario")</f>
        <v/>
      </c>
      <c r="G248" s="21">
        <f>COUNTIFS('RequestStats'!C:C, "&gt;=" &amp; DATE(2026,10,1), 'RequestStats'!C:C, "&lt;=" &amp; DATE(2026,12,1), 'RequestStats'!F:F, "Fuera de Horario")</f>
        <v/>
      </c>
      <c r="H248" s="27" t="inlineStr">
        <is>
          <t>Federico Arsenio Lachapel</t>
        </is>
      </c>
      <c r="I248">
        <f>COUNTIFS('RequestStats'!E:E,Tabla79262713167[[#This Row],[Gestores]], 'RequestStats'!C:C, "&gt;=" &amp; DATE(2026,10,1), 'RequestStats'!C:C, "&lt;=" &amp; DATE(2026,12,1))</f>
        <v/>
      </c>
      <c r="J248">
        <f>COUNTIFS('RequestStats'!I:I, "A tiempo", 'RequestStats'!E:E,Metricas!H248, 'RequestStats'!C:C, "&gt;=" &amp; DATE(2026,10,1), 'RequestStats'!C:C, "&lt;=" &amp; DATE(2026,12,1))</f>
        <v/>
      </c>
      <c r="K248">
        <f>COUNTIFS('RequestStats'!I:I, "Fuera de tiempo", 'RequestStats'!E:E,Metricas!H248, 'RequestStats'!C:C, "&gt;=" &amp; DATE(2026,10,1), 'RequestStats'!C:C, "&lt;=" &amp; DATE(2026,12,1))</f>
        <v/>
      </c>
      <c r="L248" s="12">
        <f>AVERAGEIFS('RequestStats'!H:H, 'RequestStats'!C:C, "&gt;=" &amp; DATE(2026,10,1), 'RequestStats'!C:C, "&lt;=" &amp; DATE(2026,12,1), 'RequestStats'!E:E, Tabla79262713167[[#This Row],[Gestores]])</f>
        <v/>
      </c>
    </row>
    <row r="249">
      <c r="C249" s="36" t="inlineStr">
        <is>
          <t>Trimestre 4 - Stats</t>
        </is>
      </c>
      <c r="D249" s="36" t="inlineStr">
        <is>
          <t>Abril - Junio</t>
        </is>
      </c>
      <c r="E249" s="36" t="inlineStr">
        <is>
          <t>Año</t>
        </is>
      </c>
      <c r="F249" s="36" t="n">
        <v>2026</v>
      </c>
      <c r="G249" s="145" t="inlineStr">
        <is>
          <t>Total:</t>
        </is>
      </c>
      <c r="H249" t="inlineStr">
        <is>
          <t>Julio Angel Thomas GarcIa</t>
        </is>
      </c>
      <c r="I249">
        <f>COUNTIFS('RequestStats'!E:E,Tabla79262713167[[#This Row],[Gestores]], 'RequestStats'!C:C, "&gt;=" &amp; DATE(2026,10,1), 'RequestStats'!C:C, "&lt;=" &amp; DATE(2026,12,1))</f>
        <v/>
      </c>
      <c r="J249">
        <f>COUNTIFS('RequestStats'!I:I, "A tiempo", 'RequestStats'!E:E,Metricas!H249, 'RequestStats'!C:C, "&gt;=" &amp; DATE(2026,10,1), 'RequestStats'!C:C, "&lt;=" &amp; DATE(2026,12,1))</f>
        <v/>
      </c>
      <c r="K249">
        <f>COUNTIFS('RequestStats'!I:I, "Fuera de tiempo", 'RequestStats'!E:E,Metricas!H249, 'RequestStats'!C:C, "&gt;=" &amp; DATE(2026,10,1), 'RequestStats'!C:C, "&lt;=" &amp; DATE(2026,12,1))</f>
        <v/>
      </c>
      <c r="L249" s="12">
        <f>AVERAGEIFS('RequestStats'!H:H, 'RequestStats'!C:C, "&gt;=" &amp; DATE(2026,10,1), 'RequestStats'!C:C, "&lt;=" &amp; DATE(2026,12,1), 'RequestStats'!E:E, Tabla79262713167[[#This Row],[Gestores]])</f>
        <v/>
      </c>
    </row>
    <row r="250">
      <c r="C250" s="36" t="inlineStr">
        <is>
          <t>Cuenta de Solicitud</t>
        </is>
      </c>
      <c r="D250" s="36" t="inlineStr">
        <is>
          <t>Etiquetas de columna</t>
        </is>
      </c>
      <c r="E250" s="36" t="n"/>
      <c r="F250" s="36" t="n"/>
      <c r="H250" s="27" t="inlineStr">
        <is>
          <t>Jose Manuel Polanco Mercedes</t>
        </is>
      </c>
      <c r="I250">
        <f>COUNTIFS('RequestStats'!E:E,Tabla79262713167[[#This Row],[Gestores]], 'RequestStats'!C:C, "&gt;=" &amp; DATE(2026,10,1), 'RequestStats'!C:C, "&lt;=" &amp; DATE(2026,12,1))</f>
        <v/>
      </c>
      <c r="J250">
        <f>COUNTIFS('RequestStats'!I:I, "A tiempo", 'RequestStats'!E:E,Metricas!H250, 'RequestStats'!C:C, "&gt;=" &amp; DATE(2026,10,1), 'RequestStats'!C:C, "&lt;=" &amp; DATE(2026,12,1))</f>
        <v/>
      </c>
      <c r="K250">
        <f>COUNTIFS('RequestStats'!I:I, "Fuera de tiempo", 'RequestStats'!E:E,Metricas!H250, 'RequestStats'!C:C, "&gt;=" &amp; DATE(2026,10,1), 'RequestStats'!C:C, "&lt;=" &amp; DATE(2026,12,1))</f>
        <v/>
      </c>
      <c r="L250" s="12">
        <f>AVERAGEIFS('RequestStats'!H:H, 'RequestStats'!C:C, "&gt;=" &amp; DATE(2026,10,1), 'RequestStats'!C:C, "&lt;=" &amp; DATE(2026,12,1), 'RequestStats'!E:E, Tabla79262713167[[#This Row],[Gestores]])</f>
        <v/>
      </c>
    </row>
    <row r="251">
      <c r="C251" s="36" t="inlineStr">
        <is>
          <t>Etiquetas de fila</t>
        </is>
      </c>
      <c r="D251" s="36" t="inlineStr">
        <is>
          <t>Dentro del horario</t>
        </is>
      </c>
      <c r="E251" s="36" t="inlineStr">
        <is>
          <t>Fuera de horario</t>
        </is>
      </c>
      <c r="F251" s="36" t="inlineStr">
        <is>
          <t>Total general</t>
        </is>
      </c>
      <c r="G251" s="144">
        <f>(F254+F258)/2</f>
        <v/>
      </c>
      <c r="H251" t="inlineStr">
        <is>
          <t>Moises Antonio Laureano Mateo</t>
        </is>
      </c>
      <c r="I251">
        <f>COUNTIFS('RequestStats'!E:E,Tabla79262713167[[#This Row],[Gestores]], 'RequestStats'!C:C, "&gt;=" &amp; DATE(2026,10,1), 'RequestStats'!C:C, "&lt;=" &amp; DATE(2026,12,1))</f>
        <v/>
      </c>
      <c r="J251">
        <f>COUNTIFS('RequestStats'!I:I, "A tiempo", 'RequestStats'!E:E,Metricas!H251, 'RequestStats'!C:C, "&gt;=" &amp; DATE(2026,10,1), 'RequestStats'!C:C, "&lt;=" &amp; DATE(2026,12,1))</f>
        <v/>
      </c>
      <c r="K251">
        <f>COUNTIFS('RequestStats'!I:I, "Fuera de tiempo", 'RequestStats'!E:E,Metricas!H251, 'RequestStats'!C:C, "&gt;=" &amp; DATE(2026,10,1), 'RequestStats'!C:C, "&lt;=" &amp; DATE(2026,12,1))</f>
        <v/>
      </c>
      <c r="L251" s="12">
        <f>AVERAGEIFS('RequestStats'!H:H, 'RequestStats'!C:C, "&gt;=" &amp; DATE(2026,10,1), 'RequestStats'!C:C, "&lt;=" &amp; DATE(2026,12,1), 'RequestStats'!E:E, Tabla79262713167[[#This Row],[Gestores]])</f>
        <v/>
      </c>
    </row>
    <row r="252">
      <c r="C252" s="38" t="inlineStr">
        <is>
          <t>Copia Digital</t>
        </is>
      </c>
      <c r="D252" s="39">
        <f>COUNTIFS('RequestStats'!C:C, "&gt;=" &amp; DATE(2026,10,1), 'RequestStats'!C:C, "&lt;=" &amp; DATE(2026,12,1), 'RequestStats'!F:F, "Dentro del Horario", 'RequestStats'!B:B, "Copia Digital" )</f>
        <v/>
      </c>
      <c r="E252" s="39">
        <f>COUNTIFS('RequestStats'!C:C, "&gt;=" &amp; DATE(2026,10,1), 'RequestStats'!C:C, "&lt;=" &amp; DATE(2026,12,1), 'RequestStats'!F:F, "Fuera de Horario", 'RequestStats'!B:B, "Copia Digital" )</f>
        <v/>
      </c>
      <c r="F252" s="38">
        <f>SUM(D252:E252)</f>
        <v/>
      </c>
      <c r="H252" s="27" t="inlineStr">
        <is>
          <t>Elvis Garibal Valdez Mejia</t>
        </is>
      </c>
      <c r="I252">
        <f>COUNTIFS('RequestStats'!E:E,Tabla79262713167[[#This Row],[Gestores]], 'RequestStats'!C:C, "&gt;=" &amp; DATE(2026,10,1), 'RequestStats'!C:C, "&lt;=" &amp; DATE(2026,12,1))</f>
        <v/>
      </c>
      <c r="J252">
        <f>COUNTIFS('RequestStats'!I:I, "A tiempo", 'RequestStats'!E:E,Metricas!H252, 'RequestStats'!C:C, "&gt;=" &amp; DATE(2026,10,1), 'RequestStats'!C:C, "&lt;=" &amp; DATE(2026,12,1))</f>
        <v/>
      </c>
      <c r="K252">
        <f>COUNTIFS('RequestStats'!I:I, "Fuera de tiempo", 'RequestStats'!E:E,Metricas!H252, 'RequestStats'!C:C, "&gt;=" &amp; DATE(2026,10,1), 'RequestStats'!C:C, "&lt;=" &amp; DATE(2026,12,1))</f>
        <v/>
      </c>
      <c r="L252" s="12">
        <f>AVERAGEIFS('RequestStats'!H:H, 'RequestStats'!C:C, "&gt;=" &amp; DATE(2026,10,1), 'RequestStats'!C:C, "&lt;=" &amp; DATE(2026,12,1), 'RequestStats'!E:E, Tabla79262713167[[#This Row],[Gestores]])</f>
        <v/>
      </c>
    </row>
    <row r="253">
      <c r="C253" s="38" t="inlineStr">
        <is>
          <t>Prestamo</t>
        </is>
      </c>
      <c r="D253" s="38">
        <f>COUNTIFS('RequestStats'!C:C, "&gt;=" &amp; DATE(2026,10,1), 'RequestStats'!C:C, "&lt;=" &amp; DATE(2026,12,1), 'RequestStats'!F:F, "Dentro del Horario", 'RequestStats'!B:B, "Prestamo" )</f>
        <v/>
      </c>
      <c r="E253" s="38">
        <f>COUNTIFS('RequestStats'!C:C, "&gt;=" &amp; DATE(2026,10,1), 'RequestStats'!C:C, "&lt;=" &amp; DATE(2026,12,1), 'RequestStats'!F:F, "Fuera de Horario", 'RequestStats'!B:B, "Prestamo" )</f>
        <v/>
      </c>
      <c r="F253" s="38">
        <f>SUM(D253:E253)</f>
        <v/>
      </c>
      <c r="H253" s="27" t="inlineStr">
        <is>
          <t>Jose Arturo Guzman Coste</t>
        </is>
      </c>
      <c r="I253">
        <f>COUNTIFS('RequestStats'!E:E,Tabla79262713167[[#This Row],[Gestores]], 'RequestStats'!C:C, "&gt;=" &amp; DATE(2026,10,1), 'RequestStats'!C:C, "&lt;=" &amp; DATE(2026,12,1))</f>
        <v/>
      </c>
      <c r="J253">
        <f>COUNTIFS('RequestStats'!I:I, "A tiempo", 'RequestStats'!E:E,Metricas!H253, 'RequestStats'!C:C, "&gt;=" &amp; DATE(2026,10,1), 'RequestStats'!C:C, "&lt;=" &amp; DATE(2026,12,1))</f>
        <v/>
      </c>
      <c r="K253">
        <f>COUNTIFS('RequestStats'!I:I, "Fuera de tiempo", 'RequestStats'!E:E,Metricas!H253, 'RequestStats'!C:C, "&gt;=" &amp; DATE(2026,10,1), 'RequestStats'!C:C, "&lt;=" &amp; DATE(2026,12,1))</f>
        <v/>
      </c>
      <c r="L253" s="12">
        <f>AVERAGEIFS('RequestStats'!H:H, 'RequestStats'!C:C, "&gt;=" &amp; DATE(2026,10,1), 'RequestStats'!C:C, "&lt;=" &amp; DATE(2026,12,1), 'RequestStats'!E:E, Tabla79262713167[[#This Row],[Gestores]])</f>
        <v/>
      </c>
    </row>
    <row r="254">
      <c r="C254" s="36" t="inlineStr">
        <is>
          <t>Total general</t>
        </is>
      </c>
      <c r="D254" s="37">
        <f>SUM(D252:D253)</f>
        <v/>
      </c>
      <c r="E254" s="37">
        <f>SUM(E252:E253)</f>
        <v/>
      </c>
      <c r="F254" s="37">
        <f>SUM(F252:F253)</f>
        <v/>
      </c>
      <c r="H254" s="8" t="inlineStr">
        <is>
          <t>Julio Adolfo Merino Feliciano</t>
        </is>
      </c>
      <c r="I254">
        <f>COUNTIFS('RequestStats'!E:E,Tabla79262713167[[#This Row],[Gestores]], 'RequestStats'!C:C, "&gt;=" &amp; DATE(2026,10,1), 'RequestStats'!C:C, "&lt;=" &amp; DATE(2026,12,1))</f>
        <v/>
      </c>
      <c r="J254">
        <f>COUNTIFS('RequestStats'!I:I, "A tiempo", 'RequestStats'!E:E,Metricas!H254, 'RequestStats'!C:C, "&gt;=" &amp; DATE(2026,10,1), 'RequestStats'!C:C, "&lt;=" &amp; DATE(2026,12,1))</f>
        <v/>
      </c>
      <c r="K254">
        <f>COUNTIFS('RequestStats'!I:I, "Fuera de tiempo", 'RequestStats'!E:E,Metricas!H254, 'RequestStats'!C:C, "&gt;=" &amp; DATE(2026,10,1), 'RequestStats'!C:C, "&lt;=" &amp; DATE(2026,12,1))</f>
        <v/>
      </c>
      <c r="L254" s="12">
        <f>AVERAGEIFS('RequestStats'!H:H, 'RequestStats'!C:C, "&gt;=" &amp; DATE(2026,10,1), 'RequestStats'!C:C, "&lt;=" &amp; DATE(2026,12,1), 'RequestStats'!E:E, Tabla79262713167[[#This Row],[Gestores]])</f>
        <v/>
      </c>
    </row>
    <row r="255">
      <c r="C255" s="36" t="inlineStr">
        <is>
          <t>Etiquetas de fila</t>
        </is>
      </c>
      <c r="D255" s="36" t="inlineStr">
        <is>
          <t>A tiempo</t>
        </is>
      </c>
      <c r="E255" s="36" t="inlineStr">
        <is>
          <t>Fuera de tiempo</t>
        </is>
      </c>
      <c r="F255" s="36" t="inlineStr">
        <is>
          <t>Total general</t>
        </is>
      </c>
      <c r="H255" s="8" t="inlineStr">
        <is>
          <t>Genaro Corporan B</t>
        </is>
      </c>
      <c r="I255">
        <f>COUNTIFS('RequestStats'!E:E,Tabla79262713167[[#This Row],[Gestores]], 'RequestStats'!C:C, "&gt;=" &amp; DATE(2026,10,1), 'RequestStats'!C:C, "&lt;=" &amp; DATE(2026,12,1))</f>
        <v/>
      </c>
      <c r="J255">
        <f>COUNTIFS('RequestStats'!I:I, "A tiempo", 'RequestStats'!E:E,Metricas!H255, 'RequestStats'!C:C, "&gt;=" &amp; DATE(2026,10,1), 'RequestStats'!C:C, "&lt;=" &amp; DATE(2026,12,1))</f>
        <v/>
      </c>
      <c r="K255">
        <f>COUNTIFS('RequestStats'!I:I, "Fuera de tiempo", 'RequestStats'!E:E,Metricas!H255, 'RequestStats'!C:C, "&gt;=" &amp; DATE(2026,10,1), 'RequestStats'!C:C, "&lt;=" &amp; DATE(2026,12,1))</f>
        <v/>
      </c>
      <c r="L255" s="12">
        <f>AVERAGEIFS('RequestStats'!H:H, 'RequestStats'!C:C, "&gt;=" &amp; DATE(2026,10,1), 'RequestStats'!C:C, "&lt;=" &amp; DATE(2026,12,1), 'RequestStats'!E:E, Tabla79262713167[[#This Row],[Gestores]])</f>
        <v/>
      </c>
    </row>
    <row r="256">
      <c r="C256" s="38" t="inlineStr">
        <is>
          <t>Copia Digital</t>
        </is>
      </c>
      <c r="D256" s="38">
        <f>COUNTIFS('RequestStats'!C:C, "&gt;=" &amp; DATE(2026,10,1), 'RequestStats'!C:C, "&lt;=" &amp; DATE(2026,12,1),'RequestStats'!B:B,"Copia Digital",'RequestStats'!I:I,"A tiempo")</f>
        <v/>
      </c>
      <c r="E256" s="38">
        <f>COUNTIFS('RequestStats'!C:C, "&gt;=" &amp; DATE(2026,10,1), 'RequestStats'!C:C, "&lt;=" &amp; DATE(2026,12,1),'RequestStats'!B:B,"Copia Digital",'RequestStats'!I:I,"Fuera de tiempo")</f>
        <v/>
      </c>
      <c r="F256" s="38">
        <f>SUM(D256:E256)</f>
        <v/>
      </c>
      <c r="H256" s="8" t="inlineStr">
        <is>
          <t>Gestor Documental</t>
        </is>
      </c>
      <c r="I256">
        <f>COUNTIFS('RequestStats'!E:E,Tabla79262713167[[#This Row],[Gestores]], 'RequestStats'!C:C, "&gt;=" &amp; DATE(2026,10,1), 'RequestStats'!C:C, "&lt;=" &amp; DATE(2026,12,1))</f>
        <v/>
      </c>
      <c r="J256">
        <f>COUNTIFS('RequestStats'!I:I, "A tiempo", 'RequestStats'!E:E,Metricas!H256, 'RequestStats'!C:C, "&gt;=" &amp; DATE(2026,10,1), 'RequestStats'!C:C, "&lt;=" &amp; DATE(2026,12,1))</f>
        <v/>
      </c>
      <c r="K256">
        <f>COUNTIFS('RequestStats'!I:I, "Fuera de tiempo", 'RequestStats'!E:E,Metricas!H256, 'RequestStats'!C:C, "&gt;=" &amp; DATE(2026,10,1), 'RequestStats'!C:C, "&lt;=" &amp; DATE(2026,12,1))</f>
        <v/>
      </c>
      <c r="L256" s="12">
        <f>AVERAGEIFS('RequestStats'!H:H, 'RequestStats'!C:C, "&gt;=" &amp; DATE(2026,10,1), 'RequestStats'!C:C, "&lt;=" &amp; DATE(2026,12,1), 'RequestStats'!E:E, Tabla79262713167[[#This Row],[Gestores]])</f>
        <v/>
      </c>
    </row>
    <row r="257">
      <c r="C257" s="38" t="inlineStr">
        <is>
          <t>Prestamo</t>
        </is>
      </c>
      <c r="D257" s="38">
        <f>COUNTIFS('RequestStats'!C:C, "&gt;=" &amp; DATE(2026,10,1), 'RequestStats'!C:C, "&lt;=" &amp; DATE(2026,12,1),'RequestStats'!B:B,"Prestamo",'RequestStats'!I:I,"A tiempo")</f>
        <v/>
      </c>
      <c r="E257" s="38">
        <f>COUNTIFS('RequestStats'!C:C, "&gt;=" &amp; DATE(2026,10,1), 'RequestStats'!C:C, "&lt;=" &amp; DATE(2026,12,1),'RequestStats'!B:B,"Prestamo",'RequestStats'!I:I,"Fuera de tiempo")</f>
        <v/>
      </c>
      <c r="F257" s="38">
        <f>SUM(D257:E257)</f>
        <v/>
      </c>
      <c r="L257" s="12" t="n"/>
    </row>
    <row r="258">
      <c r="C258" s="36" t="inlineStr">
        <is>
          <t>Total general</t>
        </is>
      </c>
      <c r="D258" s="37">
        <f>SUM(D256:D257)</f>
        <v/>
      </c>
      <c r="E258" s="37">
        <f>SUM(E256:E257)</f>
        <v/>
      </c>
      <c r="F258" s="37">
        <f>SUM(F256:F257)</f>
        <v/>
      </c>
      <c r="L258" s="12" t="n"/>
    </row>
    <row r="259">
      <c r="L259" s="12" t="n"/>
    </row>
    <row r="260">
      <c r="L260" s="12" t="n"/>
    </row>
    <row r="261"/>
    <row r="262"/>
    <row r="263"/>
    <row r="264"/>
    <row r="265"/>
    <row r="266"/>
    <row r="267"/>
    <row r="268">
      <c r="L268" s="12" t="n"/>
    </row>
    <row r="269">
      <c r="L269" s="12" t="n"/>
    </row>
    <row r="270">
      <c r="L270" s="12" t="n"/>
    </row>
    <row r="271"/>
    <row r="272"/>
    <row r="273"/>
    <row r="274"/>
    <row r="275"/>
    <row r="276"/>
    <row r="277"/>
    <row r="278">
      <c r="L278" s="12" t="n"/>
    </row>
    <row r="279">
      <c r="L279" s="12" t="n"/>
    </row>
    <row r="280">
      <c r="L280" s="12" t="n"/>
    </row>
    <row r="281">
      <c r="L281" s="12" t="n"/>
    </row>
    <row r="282"/>
    <row r="283"/>
    <row r="284"/>
    <row r="285"/>
    <row r="286"/>
    <row r="287"/>
    <row r="288"/>
    <row r="289">
      <c r="L289" s="12" t="n"/>
    </row>
    <row r="290">
      <c r="L290" s="12" t="n"/>
    </row>
    <row r="291">
      <c r="L291" s="12" t="n"/>
    </row>
    <row r="292"/>
    <row r="293"/>
    <row r="294"/>
    <row r="295"/>
    <row r="296"/>
    <row r="297"/>
    <row r="298"/>
    <row r="299">
      <c r="L299" s="12" t="n"/>
    </row>
    <row r="300">
      <c r="L300" s="12" t="n"/>
    </row>
    <row r="301">
      <c r="L301" s="12" t="n"/>
    </row>
    <row r="302">
      <c r="L302" s="12" t="n"/>
    </row>
    <row r="303"/>
    <row r="304"/>
  </sheetData>
  <mergeCells count="33">
    <mergeCell ref="H244:L244"/>
    <mergeCell ref="C123:L123"/>
    <mergeCell ref="C124:E124"/>
    <mergeCell ref="G66:G67"/>
    <mergeCell ref="F63:G63"/>
    <mergeCell ref="G249:G250"/>
    <mergeCell ref="F246:G246"/>
    <mergeCell ref="H122:L122"/>
    <mergeCell ref="G251:G258"/>
    <mergeCell ref="F124:G124"/>
    <mergeCell ref="C2:E2"/>
    <mergeCell ref="G190:G197"/>
    <mergeCell ref="G127:G128"/>
    <mergeCell ref="C183:G183"/>
    <mergeCell ref="C245:L245"/>
    <mergeCell ref="G7:G14"/>
    <mergeCell ref="C62:L62"/>
    <mergeCell ref="H61:L61"/>
    <mergeCell ref="G5:G6"/>
    <mergeCell ref="F2:G2"/>
    <mergeCell ref="G188:G189"/>
    <mergeCell ref="F185:G185"/>
    <mergeCell ref="C244:G244"/>
    <mergeCell ref="C184:L184"/>
    <mergeCell ref="G68:G75"/>
    <mergeCell ref="C61:G61"/>
    <mergeCell ref="C1:L1"/>
    <mergeCell ref="H183:L183"/>
    <mergeCell ref="C122:G122"/>
    <mergeCell ref="C185:E185"/>
    <mergeCell ref="G129:G136"/>
    <mergeCell ref="C246:E246"/>
    <mergeCell ref="C63:E63"/>
  </mergeCells>
  <pageMargins left="0.25" right="0.25" top="0.75" bottom="0.75" header="0.3" footer="0.3"/>
  <pageSetup orientation="portrait" paperSize="9"/>
  <drawing xmlns:r="http://schemas.openxmlformats.org/officeDocument/2006/relationships" r:id="rId1"/>
  <tableParts count="10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12"/>
  <sheetViews>
    <sheetView topLeftCell="A816" workbookViewId="0">
      <selection activeCell="C845" sqref="C845"/>
    </sheetView>
  </sheetViews>
  <sheetFormatPr baseColWidth="8" defaultRowHeight="15"/>
  <cols>
    <col width="11.140625" customWidth="1" min="1" max="1"/>
    <col width="12.5703125" customWidth="1" min="2" max="2"/>
    <col width="24" customWidth="1" style="7" min="3" max="3"/>
    <col width="16.5703125" bestFit="1" customWidth="1" style="7" min="4" max="4"/>
    <col width="22.5703125" customWidth="1" min="5" max="5"/>
    <col width="16.7109375" bestFit="1" customWidth="1" min="6" max="6"/>
    <col width="18.7109375" customWidth="1" style="2" min="7" max="7"/>
    <col width="24.28515625" bestFit="1" customWidth="1" style="12" min="8" max="8"/>
    <col width="15.140625" bestFit="1" customWidth="1" min="9" max="9"/>
    <col width="12" bestFit="1" customWidth="1" min="10" max="10"/>
    <col width="9.28515625" bestFit="1" customWidth="1" min="11" max="11"/>
  </cols>
  <sheetData>
    <row r="1">
      <c r="A1" s="47" t="inlineStr">
        <is>
          <t>ID</t>
        </is>
      </c>
      <c r="B1" s="47" t="inlineStr">
        <is>
          <t>Solicitud</t>
        </is>
      </c>
      <c r="C1" s="48" t="inlineStr">
        <is>
          <t>Creación</t>
        </is>
      </c>
      <c r="D1" s="48" t="inlineStr">
        <is>
          <t>Respuesta</t>
        </is>
      </c>
      <c r="E1" s="47" t="inlineStr">
        <is>
          <t>Gestor</t>
        </is>
      </c>
      <c r="F1" s="49" t="inlineStr">
        <is>
          <t>Prudencia</t>
        </is>
      </c>
      <c r="G1" s="50" t="inlineStr">
        <is>
          <t>ValidaciónCreación</t>
        </is>
      </c>
      <c r="H1" s="51" t="inlineStr">
        <is>
          <t>TiempoLaboralEfectivo</t>
        </is>
      </c>
      <c r="I1" s="52" t="inlineStr">
        <is>
          <t>Calificación</t>
        </is>
      </c>
      <c r="J1" s="47" t="inlineStr">
        <is>
          <t>Trimestre</t>
        </is>
      </c>
    </row>
    <row r="2">
      <c r="C2" s="7" t="n"/>
      <c r="D2" s="7" t="n"/>
      <c r="G2" s="2" t="n"/>
      <c r="H2" s="12" t="n"/>
      <c r="L2">
        <f t="array" ref="L2:L16">_xlfn.UNIQUE(E:E)</f>
        <v/>
      </c>
    </row>
    <row r="3" ht="17.25" customHeight="1">
      <c r="C3" s="7" t="n"/>
      <c r="D3" s="7" t="n"/>
      <c r="G3" s="2" t="n"/>
      <c r="H3" s="12" t="n"/>
      <c r="L3" s="41" t="inlineStr">
        <is>
          <t>Andersson Beltre</t>
        </is>
      </c>
      <c r="O3" t="inlineStr">
        <is>
          <t>Andersson Beltre</t>
        </is>
      </c>
    </row>
    <row r="4">
      <c r="C4" s="7" t="n"/>
      <c r="D4" s="7" t="n"/>
      <c r="G4" s="2" t="n"/>
      <c r="H4" s="12" t="n"/>
      <c r="L4" t="inlineStr">
        <is>
          <t>Genaro Corporan B</t>
        </is>
      </c>
      <c r="O4" t="inlineStr">
        <is>
          <t>Genaro Corporan B</t>
        </is>
      </c>
    </row>
    <row r="5">
      <c r="C5" s="7" t="n"/>
      <c r="D5" s="7" t="n"/>
      <c r="G5" s="2" t="n"/>
      <c r="H5" s="12" t="n"/>
      <c r="L5" t="inlineStr">
        <is>
          <t>Julio Angel Thomas GarcIa</t>
        </is>
      </c>
      <c r="O5" t="inlineStr">
        <is>
          <t>Julio Angel Thomas GarcIa</t>
        </is>
      </c>
    </row>
    <row r="6">
      <c r="C6" s="7" t="n"/>
      <c r="D6" s="7" t="n"/>
      <c r="G6" s="2" t="n"/>
      <c r="H6" s="12" t="n"/>
      <c r="L6" t="inlineStr">
        <is>
          <t>Kevin F Fernandez U</t>
        </is>
      </c>
      <c r="O6" t="inlineStr">
        <is>
          <t>Kevin F Fernandez U</t>
        </is>
      </c>
    </row>
    <row r="7">
      <c r="C7" s="7" t="n"/>
      <c r="D7" s="7" t="n"/>
      <c r="G7" s="2" t="n"/>
      <c r="H7" s="12" t="n"/>
      <c r="L7" t="inlineStr">
        <is>
          <t>Moises Antonio Laureano Mateo</t>
        </is>
      </c>
      <c r="O7" t="inlineStr">
        <is>
          <t>Moises Antonio Laureano Mateo</t>
        </is>
      </c>
    </row>
    <row r="8">
      <c r="C8" s="7" t="n"/>
      <c r="D8" s="7" t="n"/>
      <c r="G8" s="2" t="n"/>
      <c r="H8" s="12" t="n"/>
      <c r="L8" t="inlineStr">
        <is>
          <t>Elvis Garibal Valdez Mejia</t>
        </is>
      </c>
      <c r="O8" t="inlineStr">
        <is>
          <t>Elvis G Valdez M</t>
        </is>
      </c>
    </row>
    <row r="9">
      <c r="C9" s="7" t="n"/>
      <c r="D9" s="7" t="n"/>
      <c r="G9" s="2" t="n"/>
      <c r="H9" s="12" t="n"/>
      <c r="L9" t="inlineStr">
        <is>
          <t>Jose Manuel Polanco Mercedes</t>
        </is>
      </c>
      <c r="O9" s="8" t="inlineStr">
        <is>
          <t>Federico Arsenio L</t>
        </is>
      </c>
    </row>
    <row r="10" customFormat="1" s="8">
      <c r="C10" s="7" t="n"/>
      <c r="D10" s="7" t="n"/>
      <c r="G10" s="2" t="n"/>
      <c r="H10" s="12" t="n"/>
      <c r="L10" s="8" t="inlineStr">
        <is>
          <t>Federico Arsenio Lachapel</t>
        </is>
      </c>
      <c r="O10" s="8" t="inlineStr">
        <is>
          <t>Julio Adolfo Merino Feliciano</t>
        </is>
      </c>
    </row>
    <row r="11" customFormat="1" s="8">
      <c r="C11" s="7" t="n"/>
      <c r="D11" s="7" t="n"/>
      <c r="G11" s="2" t="n"/>
      <c r="H11" s="12" t="n"/>
      <c r="L11" s="8" t="inlineStr">
        <is>
          <t>Julio Adolfo Merino Feliciano</t>
        </is>
      </c>
      <c r="O11" s="8" t="inlineStr">
        <is>
          <t>Jose Manuel Polanco Mercedes</t>
        </is>
      </c>
    </row>
    <row r="12" customFormat="1" s="8">
      <c r="C12" s="7" t="n"/>
      <c r="D12" s="7" t="n"/>
      <c r="G12" s="2" t="n"/>
      <c r="H12" s="12" t="n"/>
      <c r="L12" s="8" t="inlineStr">
        <is>
          <t>Jose Arturo Guzman Coste</t>
        </is>
      </c>
      <c r="O12" s="8" t="inlineStr">
        <is>
          <t>Jose Arturo Guzman Coste</t>
        </is>
      </c>
    </row>
    <row r="13" customFormat="1" s="8">
      <c r="C13" s="7" t="n"/>
      <c r="D13" s="7" t="n"/>
      <c r="G13" s="2" t="n"/>
      <c r="H13" s="12" t="n"/>
      <c r="L13" s="8" t="inlineStr">
        <is>
          <t>Juan Francisco Silvestre Ramirez</t>
        </is>
      </c>
    </row>
    <row r="14" customFormat="1" s="8">
      <c r="C14" s="7" t="n"/>
      <c r="D14" s="7" t="n"/>
      <c r="G14" s="2" t="n"/>
      <c r="H14" s="12" t="n"/>
      <c r="L14" s="8" t="inlineStr">
        <is>
          <t>Gestor Documental</t>
        </is>
      </c>
    </row>
    <row r="15" customFormat="1" s="8">
      <c r="C15" s="7" t="n"/>
      <c r="D15" s="7" t="n"/>
      <c r="G15" s="2" t="n"/>
      <c r="H15" s="12" t="n"/>
      <c r="L15" s="8" t="inlineStr">
        <is>
          <t>Francisco  Sanchez Vasquez</t>
        </is>
      </c>
    </row>
    <row r="16" customFormat="1" s="8">
      <c r="C16" s="7" t="n"/>
      <c r="D16" s="7" t="n"/>
      <c r="G16" s="2" t="n"/>
      <c r="H16" s="12" t="n"/>
      <c r="L16" s="8" t="n">
        <v>0</v>
      </c>
    </row>
    <row r="17" customFormat="1" s="8">
      <c r="C17" s="7" t="n"/>
      <c r="D17" s="7" t="n"/>
      <c r="G17" s="2" t="n"/>
      <c r="H17" s="12" t="n"/>
    </row>
    <row r="18" customFormat="1" s="8">
      <c r="C18" s="7" t="n"/>
      <c r="D18" s="7" t="n"/>
      <c r="G18" s="2" t="n"/>
      <c r="H18" s="12" t="n"/>
    </row>
    <row r="19" customFormat="1" s="8">
      <c r="C19" s="7" t="n"/>
      <c r="D19" s="7" t="n"/>
      <c r="G19" s="2" t="n"/>
      <c r="H19" s="12" t="n"/>
    </row>
    <row r="20" customFormat="1" s="8">
      <c r="C20" s="7" t="n"/>
      <c r="D20" s="7" t="n"/>
      <c r="G20" s="2" t="n"/>
      <c r="H20" s="12" t="n"/>
    </row>
    <row r="21" customFormat="1" s="8">
      <c r="C21" s="7" t="n"/>
      <c r="D21" s="7" t="n"/>
      <c r="G21" s="2" t="n"/>
      <c r="H21" s="12" t="n"/>
    </row>
    <row r="22" customFormat="1" s="8">
      <c r="C22" s="7" t="n"/>
      <c r="D22" s="7" t="n"/>
      <c r="G22" s="2" t="n"/>
      <c r="H22" s="12" t="n"/>
    </row>
    <row r="23" customFormat="1" s="8">
      <c r="C23" s="7" t="n"/>
      <c r="D23" s="7" t="n"/>
      <c r="G23" s="2" t="n"/>
      <c r="H23" s="12" t="n"/>
    </row>
    <row r="24" customFormat="1" s="8">
      <c r="C24" s="7" t="n"/>
      <c r="D24" s="7" t="n"/>
      <c r="G24" s="2" t="n"/>
      <c r="H24" s="12" t="n"/>
    </row>
    <row r="25" customFormat="1" s="8">
      <c r="C25" s="7" t="n"/>
      <c r="D25" s="7" t="n"/>
      <c r="G25" s="2" t="n"/>
      <c r="H25" s="12" t="n"/>
    </row>
    <row r="26" customFormat="1" s="8">
      <c r="C26" s="7" t="n"/>
      <c r="D26" s="7" t="n"/>
      <c r="G26" s="2" t="n"/>
      <c r="H26" s="12" t="n"/>
    </row>
    <row r="27" customFormat="1" s="8">
      <c r="C27" s="7" t="n"/>
      <c r="D27" s="7" t="n"/>
      <c r="G27" s="2" t="n"/>
      <c r="H27" s="12" t="n"/>
    </row>
    <row r="28" customFormat="1" s="8">
      <c r="C28" s="7" t="n"/>
      <c r="D28" s="7" t="n"/>
      <c r="G28" s="2" t="n"/>
      <c r="H28" s="12" t="n"/>
    </row>
    <row r="29" customFormat="1" s="8">
      <c r="C29" s="7" t="n"/>
      <c r="D29" s="7" t="n"/>
      <c r="G29" s="2" t="n"/>
      <c r="H29" s="12" t="n"/>
    </row>
    <row r="30" customFormat="1" s="8">
      <c r="C30" s="7" t="n"/>
      <c r="D30" s="7" t="n"/>
      <c r="G30" s="2" t="n"/>
      <c r="H30" s="12" t="n"/>
    </row>
    <row r="31" customFormat="1" s="8">
      <c r="C31" s="7" t="n"/>
      <c r="D31" s="7" t="n"/>
      <c r="G31" s="2" t="n"/>
      <c r="H31" s="12" t="n"/>
    </row>
    <row r="32" customFormat="1" s="8">
      <c r="C32" s="7" t="n"/>
      <c r="D32" s="7" t="n"/>
      <c r="G32" s="2" t="n"/>
      <c r="H32" s="12" t="n"/>
    </row>
    <row r="33" customFormat="1" s="8">
      <c r="C33" s="7" t="n"/>
      <c r="D33" s="7" t="n"/>
      <c r="G33" s="2" t="n"/>
      <c r="H33" s="12" t="n"/>
    </row>
    <row r="34" customFormat="1" s="8">
      <c r="C34" s="7" t="n"/>
      <c r="D34" s="7" t="n"/>
      <c r="G34" s="2" t="n"/>
      <c r="H34" s="12" t="n"/>
    </row>
    <row r="35" customFormat="1" s="8">
      <c r="C35" s="7" t="n"/>
      <c r="D35" s="7" t="n"/>
      <c r="G35" s="2" t="n"/>
      <c r="H35" s="12" t="n"/>
    </row>
    <row r="36" customFormat="1" s="8">
      <c r="C36" s="7" t="n"/>
      <c r="D36" s="7" t="n"/>
      <c r="G36" s="2" t="n"/>
      <c r="H36" s="12" t="n"/>
    </row>
    <row r="37" customFormat="1" s="8">
      <c r="C37" s="7" t="n"/>
      <c r="D37" s="7" t="n"/>
      <c r="G37" s="2" t="n"/>
      <c r="H37" s="12" t="n"/>
    </row>
    <row r="38" customFormat="1" s="8">
      <c r="C38" s="7" t="n"/>
      <c r="D38" s="7" t="n"/>
      <c r="G38" s="2" t="n"/>
      <c r="H38" s="12" t="n"/>
    </row>
    <row r="39" customFormat="1" s="8">
      <c r="C39" s="7" t="n"/>
      <c r="D39" s="7" t="n"/>
      <c r="G39" s="2" t="n"/>
      <c r="H39" s="12" t="n"/>
    </row>
    <row r="40" customFormat="1" s="8">
      <c r="C40" s="7" t="n"/>
      <c r="D40" s="7" t="n"/>
      <c r="G40" s="2" t="n"/>
      <c r="H40" s="12" t="n"/>
    </row>
    <row r="41" customFormat="1" s="8">
      <c r="C41" s="7" t="n"/>
      <c r="D41" s="7" t="n"/>
      <c r="G41" s="2" t="n"/>
      <c r="H41" s="12" t="n"/>
    </row>
    <row r="42" customFormat="1" s="8">
      <c r="C42" s="7" t="n"/>
      <c r="D42" s="7" t="n"/>
      <c r="G42" s="2" t="n"/>
      <c r="H42" s="12" t="n"/>
    </row>
    <row r="43" customFormat="1" s="8">
      <c r="C43" s="7" t="n"/>
      <c r="D43" s="7" t="n"/>
      <c r="G43" s="2" t="n"/>
      <c r="H43" s="12" t="n"/>
    </row>
    <row r="44" customFormat="1" s="8">
      <c r="C44" s="7" t="n"/>
      <c r="D44" s="7" t="n"/>
      <c r="G44" s="2" t="n"/>
      <c r="H44" s="12" t="n"/>
    </row>
    <row r="45" customFormat="1" s="8">
      <c r="C45" s="7" t="n"/>
      <c r="D45" s="7" t="n"/>
      <c r="G45" s="2" t="n"/>
      <c r="H45" s="12" t="n"/>
    </row>
    <row r="46" customFormat="1" s="8">
      <c r="C46" s="7" t="n"/>
      <c r="D46" s="7" t="n"/>
      <c r="G46" s="2" t="n"/>
      <c r="H46" s="12" t="n"/>
    </row>
    <row r="47" customFormat="1" s="8">
      <c r="C47" s="7" t="n"/>
      <c r="D47" s="7" t="n"/>
      <c r="G47" s="2" t="n"/>
      <c r="H47" s="12" t="n"/>
    </row>
    <row r="48" customFormat="1" s="8">
      <c r="C48" s="7" t="n"/>
      <c r="D48" s="7" t="n"/>
      <c r="G48" s="2" t="n"/>
      <c r="H48" s="12" t="n"/>
    </row>
    <row r="49" customFormat="1" s="8">
      <c r="C49" s="7" t="n"/>
      <c r="D49" s="7" t="n"/>
      <c r="G49" s="2" t="n"/>
      <c r="H49" s="12" t="n"/>
    </row>
    <row r="50" customFormat="1" s="8">
      <c r="C50" s="7" t="n"/>
      <c r="D50" s="7" t="n"/>
      <c r="G50" s="2" t="n"/>
      <c r="H50" s="12" t="n"/>
    </row>
    <row r="51" customFormat="1" s="8">
      <c r="C51" s="7" t="n"/>
      <c r="D51" s="7" t="n"/>
      <c r="G51" s="2" t="n"/>
      <c r="H51" s="12" t="n"/>
    </row>
    <row r="52" customFormat="1" s="8">
      <c r="C52" s="7" t="n"/>
      <c r="D52" s="7" t="n"/>
      <c r="G52" s="2" t="n"/>
      <c r="H52" s="12" t="n"/>
    </row>
    <row r="53" customFormat="1" s="8">
      <c r="C53" s="7" t="n"/>
      <c r="D53" s="7" t="n"/>
      <c r="G53" s="2" t="n"/>
      <c r="H53" s="12" t="n"/>
    </row>
    <row r="54" customFormat="1" s="8">
      <c r="C54" s="7" t="n"/>
      <c r="D54" s="7" t="n"/>
      <c r="G54" s="2" t="n"/>
      <c r="H54" s="12" t="n"/>
    </row>
    <row r="55" customFormat="1" s="8">
      <c r="C55" s="7" t="n"/>
      <c r="D55" s="7" t="n"/>
      <c r="G55" s="2" t="n"/>
      <c r="H55" s="12" t="n"/>
    </row>
    <row r="56" customFormat="1" s="8">
      <c r="C56" s="7" t="n"/>
      <c r="D56" s="7" t="n"/>
      <c r="G56" s="2" t="n"/>
      <c r="H56" s="12" t="n"/>
    </row>
    <row r="57" customFormat="1" s="8">
      <c r="C57" s="7" t="n"/>
      <c r="D57" s="7" t="n"/>
      <c r="G57" s="2" t="n"/>
      <c r="H57" s="12" t="n"/>
    </row>
    <row r="58" customFormat="1" s="8">
      <c r="C58" s="7" t="n"/>
      <c r="D58" s="7" t="n"/>
      <c r="G58" s="2" t="n"/>
      <c r="H58" s="12" t="n"/>
    </row>
    <row r="59" customFormat="1" s="8">
      <c r="C59" s="7" t="n"/>
      <c r="D59" s="7" t="n"/>
      <c r="G59" s="2" t="n"/>
      <c r="H59" s="12" t="n"/>
    </row>
    <row r="60" customFormat="1" s="8">
      <c r="C60" s="7" t="n"/>
      <c r="D60" s="7" t="n"/>
      <c r="G60" s="2" t="n"/>
      <c r="H60" s="12" t="n"/>
    </row>
    <row r="61" customFormat="1" s="8">
      <c r="C61" s="7" t="n"/>
      <c r="D61" s="7" t="n"/>
      <c r="G61" s="2" t="n"/>
      <c r="H61" s="12" t="n"/>
    </row>
    <row r="62" customFormat="1" s="8">
      <c r="C62" s="7" t="n"/>
      <c r="D62" s="7" t="n"/>
      <c r="G62" s="2" t="n"/>
      <c r="H62" s="12" t="n"/>
    </row>
    <row r="63" customFormat="1" s="8">
      <c r="C63" s="7" t="n"/>
      <c r="D63" s="7" t="n"/>
      <c r="G63" s="2" t="n"/>
      <c r="H63" s="12" t="n"/>
    </row>
    <row r="64" customFormat="1" s="8">
      <c r="C64" s="7" t="n"/>
      <c r="D64" s="7" t="n"/>
      <c r="G64" s="2" t="n"/>
      <c r="H64" s="12" t="n"/>
    </row>
    <row r="65" customFormat="1" s="8">
      <c r="C65" s="7" t="n"/>
      <c r="D65" s="7" t="n"/>
      <c r="G65" s="2" t="n"/>
      <c r="H65" s="12" t="n"/>
    </row>
    <row r="66" customFormat="1" s="8">
      <c r="C66" s="7" t="n"/>
      <c r="D66" s="7" t="n"/>
      <c r="G66" s="2" t="n"/>
      <c r="H66" s="12" t="n"/>
    </row>
    <row r="67" customFormat="1" s="8">
      <c r="C67" s="7" t="n"/>
      <c r="D67" s="7" t="n"/>
      <c r="G67" s="2" t="n"/>
      <c r="H67" s="12" t="n"/>
    </row>
    <row r="68">
      <c r="C68" s="7" t="n"/>
      <c r="D68" s="7" t="n"/>
      <c r="G68" s="2" t="n"/>
      <c r="H68" s="12" t="n"/>
    </row>
    <row r="69">
      <c r="C69" s="7" t="n"/>
      <c r="D69" s="7" t="n"/>
      <c r="G69" s="2" t="n"/>
      <c r="H69" s="12" t="n"/>
    </row>
    <row r="70">
      <c r="C70" s="7" t="n"/>
      <c r="D70" s="7" t="n"/>
      <c r="G70" s="2" t="n"/>
      <c r="H70" s="12" t="n"/>
    </row>
    <row r="71">
      <c r="C71" s="7" t="n"/>
      <c r="D71" s="7" t="n"/>
      <c r="G71" s="2" t="n"/>
      <c r="H71" s="12" t="n"/>
    </row>
    <row r="72">
      <c r="C72" s="7" t="n"/>
      <c r="D72" s="7" t="n"/>
      <c r="G72" s="2" t="n"/>
      <c r="H72" s="12" t="n"/>
    </row>
    <row r="73">
      <c r="C73" s="7" t="n"/>
      <c r="D73" s="7" t="n"/>
      <c r="G73" s="2" t="n"/>
      <c r="H73" s="12" t="n"/>
    </row>
    <row r="74">
      <c r="C74" s="7" t="n"/>
      <c r="D74" s="7" t="n"/>
      <c r="G74" s="2" t="n"/>
      <c r="H74" s="12" t="n"/>
    </row>
    <row r="75">
      <c r="C75" s="7" t="n"/>
      <c r="D75" s="7" t="n"/>
      <c r="G75" s="2" t="n"/>
      <c r="H75" s="12" t="n"/>
    </row>
    <row r="76">
      <c r="C76" s="7" t="n"/>
      <c r="D76" s="7" t="n"/>
      <c r="G76" s="2" t="n"/>
      <c r="H76" s="12" t="n"/>
    </row>
    <row r="77">
      <c r="C77" s="7" t="n"/>
      <c r="D77" s="7" t="n"/>
      <c r="G77" s="2" t="n"/>
      <c r="H77" s="12" t="n"/>
    </row>
    <row r="78">
      <c r="C78" s="7" t="n"/>
      <c r="D78" s="7" t="n"/>
      <c r="G78" s="2" t="n"/>
      <c r="H78" s="12" t="n"/>
    </row>
    <row r="79">
      <c r="C79" s="7" t="n"/>
      <c r="D79" s="7" t="n"/>
      <c r="G79" s="2" t="n"/>
      <c r="H79" s="12" t="n"/>
    </row>
    <row r="80">
      <c r="C80" s="7" t="n"/>
      <c r="D80" s="7" t="n"/>
      <c r="G80" s="2" t="n"/>
      <c r="H80" s="12" t="n"/>
    </row>
    <row r="81">
      <c r="C81" s="7" t="n"/>
      <c r="D81" s="7" t="n"/>
      <c r="G81" s="2" t="n"/>
      <c r="H81" s="12" t="n"/>
    </row>
    <row r="82">
      <c r="C82" s="7" t="n"/>
      <c r="D82" s="7" t="n"/>
      <c r="G82" s="2" t="n"/>
      <c r="H82" s="12" t="n"/>
    </row>
    <row r="83">
      <c r="C83" s="7" t="n"/>
      <c r="D83" s="7" t="n"/>
      <c r="G83" s="2" t="n"/>
      <c r="H83" s="12" t="n"/>
    </row>
    <row r="84">
      <c r="C84" s="7" t="n"/>
      <c r="D84" s="7" t="n"/>
      <c r="G84" s="2" t="n"/>
      <c r="H84" s="12" t="n"/>
    </row>
    <row r="85">
      <c r="C85" s="7" t="n"/>
      <c r="D85" s="7" t="n"/>
      <c r="G85" s="2" t="n"/>
      <c r="H85" s="12" t="n"/>
    </row>
    <row r="86">
      <c r="C86" s="7" t="n"/>
      <c r="D86" s="7" t="n"/>
      <c r="G86" s="2" t="n"/>
      <c r="H86" s="12" t="n"/>
    </row>
    <row r="87">
      <c r="C87" s="7" t="n"/>
      <c r="D87" s="7" t="n"/>
      <c r="G87" s="2" t="n"/>
      <c r="H87" s="12" t="n"/>
    </row>
    <row r="88">
      <c r="C88" s="7" t="n"/>
      <c r="D88" s="7" t="n"/>
      <c r="G88" s="2" t="n"/>
      <c r="H88" s="12" t="n"/>
    </row>
    <row r="89">
      <c r="C89" s="7" t="n"/>
      <c r="D89" s="7" t="n"/>
      <c r="G89" s="2" t="n"/>
      <c r="H89" s="12" t="n"/>
    </row>
    <row r="90">
      <c r="C90" s="7" t="n"/>
      <c r="D90" s="7" t="n"/>
      <c r="G90" s="2" t="n"/>
      <c r="H90" s="12" t="n"/>
    </row>
    <row r="91">
      <c r="C91" s="7" t="n"/>
      <c r="D91" s="7" t="n"/>
      <c r="G91" s="2" t="n"/>
      <c r="H91" s="12" t="n"/>
    </row>
    <row r="92">
      <c r="C92" s="7" t="n"/>
      <c r="D92" s="7" t="n"/>
      <c r="G92" s="2" t="n"/>
      <c r="H92" s="12" t="n"/>
    </row>
    <row r="93">
      <c r="C93" s="7" t="n"/>
      <c r="D93" s="7" t="n"/>
      <c r="G93" s="2" t="n"/>
      <c r="H93" s="12" t="n"/>
    </row>
    <row r="94">
      <c r="C94" s="7" t="n"/>
      <c r="D94" s="7" t="n"/>
      <c r="G94" s="2" t="n"/>
      <c r="H94" s="12" t="n"/>
    </row>
    <row r="95">
      <c r="C95" s="7" t="n"/>
      <c r="D95" s="7" t="n"/>
      <c r="G95" s="2" t="n"/>
      <c r="H95" s="12" t="n"/>
    </row>
    <row r="96">
      <c r="C96" s="7" t="n"/>
      <c r="D96" s="7" t="n"/>
      <c r="G96" s="2" t="n"/>
      <c r="H96" s="12" t="n"/>
    </row>
    <row r="97">
      <c r="C97" s="7" t="n"/>
      <c r="D97" s="7" t="n"/>
      <c r="G97" s="2" t="n"/>
      <c r="H97" s="12" t="n"/>
    </row>
    <row r="98">
      <c r="C98" s="7" t="n"/>
      <c r="D98" s="7" t="n"/>
      <c r="G98" s="2" t="n"/>
      <c r="H98" s="12" t="n"/>
    </row>
    <row r="99">
      <c r="C99" s="7" t="n"/>
      <c r="D99" s="7" t="n"/>
      <c r="G99" s="2" t="n"/>
      <c r="H99" s="12" t="n"/>
    </row>
    <row r="100">
      <c r="C100" s="7" t="n"/>
      <c r="D100" s="7" t="n"/>
      <c r="G100" s="2" t="n"/>
      <c r="H100" s="12" t="n"/>
    </row>
    <row r="101">
      <c r="C101" s="7" t="n"/>
      <c r="D101" s="7" t="n"/>
      <c r="G101" s="2" t="n"/>
      <c r="H101" s="12" t="n"/>
    </row>
    <row r="102">
      <c r="C102" s="7" t="n"/>
      <c r="D102" s="7" t="n"/>
      <c r="G102" s="2" t="n"/>
      <c r="H102" s="12" t="n"/>
    </row>
    <row r="103">
      <c r="C103" s="7" t="n"/>
      <c r="D103" s="7" t="n"/>
      <c r="G103" s="2" t="n"/>
      <c r="H103" s="12" t="n"/>
    </row>
    <row r="104">
      <c r="C104" s="7" t="n"/>
      <c r="D104" s="7" t="n"/>
      <c r="G104" s="2" t="n"/>
      <c r="H104" s="12" t="n"/>
    </row>
    <row r="105">
      <c r="C105" s="7" t="n"/>
      <c r="D105" s="7" t="n"/>
      <c r="G105" s="2" t="n"/>
      <c r="H105" s="12" t="n"/>
    </row>
    <row r="106">
      <c r="C106" s="7" t="n"/>
      <c r="D106" s="7" t="n"/>
      <c r="G106" s="2" t="n"/>
      <c r="H106" s="12" t="n"/>
    </row>
    <row r="107">
      <c r="C107" s="7" t="n"/>
      <c r="D107" s="7" t="n"/>
      <c r="G107" s="2" t="n"/>
      <c r="H107" s="12" t="n"/>
    </row>
    <row r="108">
      <c r="C108" s="7" t="n"/>
      <c r="D108" s="7" t="n"/>
      <c r="G108" s="2" t="n"/>
      <c r="H108" s="12" t="n"/>
    </row>
    <row r="109">
      <c r="C109" s="7" t="n"/>
      <c r="D109" s="7" t="n"/>
      <c r="G109" s="2" t="n"/>
      <c r="H109" s="12" t="n"/>
    </row>
    <row r="110">
      <c r="C110" s="7" t="n"/>
      <c r="D110" s="7" t="n"/>
      <c r="G110" s="2" t="n"/>
      <c r="H110" s="12" t="n"/>
    </row>
    <row r="111">
      <c r="C111" s="7" t="n"/>
      <c r="D111" s="7" t="n"/>
      <c r="G111" s="2" t="n"/>
      <c r="H111" s="12" t="n"/>
    </row>
    <row r="112">
      <c r="C112" s="7" t="n"/>
      <c r="D112" s="7" t="n"/>
      <c r="G112" s="2" t="n"/>
      <c r="H112" s="12" t="n"/>
    </row>
    <row r="113">
      <c r="C113" s="7" t="n"/>
      <c r="D113" s="7" t="n"/>
      <c r="G113" s="2" t="n"/>
      <c r="H113" s="12" t="n"/>
    </row>
    <row r="114">
      <c r="C114" s="7" t="n"/>
      <c r="D114" s="7" t="n"/>
      <c r="G114" s="2" t="n"/>
      <c r="H114" s="12" t="n"/>
    </row>
    <row r="115">
      <c r="C115" s="7" t="n"/>
      <c r="D115" s="7" t="n"/>
      <c r="G115" s="2" t="n"/>
      <c r="H115" s="12" t="n"/>
    </row>
    <row r="116">
      <c r="C116" s="7" t="n"/>
      <c r="D116" s="7" t="n"/>
      <c r="G116" s="2" t="n"/>
      <c r="H116" s="12" t="n"/>
    </row>
    <row r="117">
      <c r="C117" s="7" t="n"/>
      <c r="D117" s="7" t="n"/>
      <c r="G117" s="2" t="n"/>
      <c r="H117" s="12" t="n"/>
    </row>
    <row r="118">
      <c r="C118" s="7" t="n"/>
      <c r="D118" s="7" t="n"/>
      <c r="G118" s="2" t="n"/>
      <c r="H118" s="12" t="n"/>
    </row>
    <row r="119">
      <c r="C119" s="7" t="n"/>
      <c r="D119" s="7" t="n"/>
      <c r="G119" s="2" t="n"/>
      <c r="H119" s="12" t="n"/>
    </row>
    <row r="120">
      <c r="C120" s="7" t="n"/>
      <c r="D120" s="7" t="n"/>
      <c r="G120" s="2" t="n"/>
      <c r="H120" s="12" t="n"/>
    </row>
    <row r="121">
      <c r="C121" s="7" t="n"/>
      <c r="D121" s="7" t="n"/>
      <c r="G121" s="2" t="n"/>
      <c r="H121" s="12" t="n"/>
    </row>
    <row r="122">
      <c r="C122" s="7" t="n"/>
      <c r="D122" s="7" t="n"/>
      <c r="G122" s="2" t="n"/>
      <c r="H122" s="12" t="n"/>
    </row>
    <row r="123">
      <c r="C123" s="7" t="n"/>
      <c r="D123" s="7" t="n"/>
      <c r="G123" s="2" t="n"/>
      <c r="H123" s="12" t="n"/>
    </row>
    <row r="124">
      <c r="C124" s="7" t="n"/>
      <c r="D124" s="7" t="n"/>
      <c r="G124" s="2" t="n"/>
      <c r="H124" s="12" t="n"/>
    </row>
    <row r="125">
      <c r="C125" s="7" t="n"/>
      <c r="D125" s="7" t="n"/>
      <c r="G125" s="2" t="n"/>
      <c r="H125" s="12" t="n"/>
    </row>
    <row r="126">
      <c r="C126" s="7" t="n"/>
      <c r="D126" s="7" t="n"/>
      <c r="G126" s="2" t="n"/>
      <c r="H126" s="12" t="n"/>
    </row>
    <row r="127">
      <c r="C127" s="7" t="n"/>
      <c r="D127" s="7" t="n"/>
      <c r="G127" s="2" t="n"/>
      <c r="H127" s="12" t="n"/>
    </row>
    <row r="128">
      <c r="C128" s="7" t="n"/>
      <c r="D128" s="7" t="n"/>
      <c r="G128" s="2" t="n"/>
      <c r="H128" s="12" t="n"/>
    </row>
    <row r="129">
      <c r="C129" s="7" t="n"/>
      <c r="D129" s="7" t="n"/>
      <c r="G129" s="2" t="n"/>
      <c r="H129" s="12" t="n"/>
    </row>
    <row r="130">
      <c r="C130" s="7" t="n"/>
      <c r="D130" s="7" t="n"/>
      <c r="G130" s="2" t="n"/>
      <c r="H130" s="12" t="n"/>
    </row>
    <row r="131">
      <c r="C131" s="7" t="n"/>
      <c r="D131" s="7" t="n"/>
      <c r="G131" s="2" t="n"/>
      <c r="H131" s="12" t="n"/>
    </row>
    <row r="132">
      <c r="C132" s="7" t="n"/>
      <c r="D132" s="7" t="n"/>
      <c r="G132" s="2" t="n"/>
      <c r="H132" s="12" t="n"/>
    </row>
    <row r="133">
      <c r="C133" s="7" t="n"/>
      <c r="D133" s="7" t="n"/>
      <c r="G133" s="2" t="n"/>
      <c r="H133" s="12" t="n"/>
    </row>
    <row r="134">
      <c r="C134" s="7" t="n"/>
      <c r="D134" s="7" t="n"/>
      <c r="G134" s="2" t="n"/>
      <c r="H134" s="12" t="n"/>
    </row>
    <row r="135">
      <c r="C135" s="7" t="n"/>
      <c r="D135" s="7" t="n"/>
      <c r="G135" s="2" t="n"/>
      <c r="H135" s="12" t="n"/>
    </row>
    <row r="136">
      <c r="C136" s="7" t="n"/>
      <c r="D136" s="7" t="n"/>
      <c r="G136" s="2" t="n"/>
      <c r="H136" s="12" t="n"/>
    </row>
    <row r="137">
      <c r="C137" s="7" t="n"/>
      <c r="D137" s="7" t="n"/>
      <c r="G137" s="2" t="n"/>
      <c r="H137" s="12" t="n"/>
    </row>
    <row r="138">
      <c r="C138" s="7" t="n"/>
      <c r="D138" s="7" t="n"/>
      <c r="G138" s="2" t="n"/>
      <c r="H138" s="12" t="n"/>
    </row>
    <row r="139">
      <c r="C139" s="7" t="n"/>
      <c r="D139" s="7" t="n"/>
      <c r="G139" s="2" t="n"/>
      <c r="H139" s="12" t="n"/>
    </row>
    <row r="140">
      <c r="C140" s="7" t="n"/>
      <c r="D140" s="7" t="n"/>
      <c r="G140" s="2" t="n"/>
      <c r="H140" s="12" t="n"/>
    </row>
    <row r="141">
      <c r="C141" s="7" t="n"/>
      <c r="D141" s="7" t="n"/>
      <c r="G141" s="2" t="n"/>
      <c r="H141" s="12" t="n"/>
    </row>
    <row r="142">
      <c r="C142" s="7" t="n"/>
      <c r="D142" s="7" t="n"/>
      <c r="G142" s="2" t="n"/>
      <c r="H142" s="12" t="n"/>
    </row>
    <row r="143">
      <c r="C143" s="7" t="n"/>
      <c r="D143" s="7" t="n"/>
      <c r="G143" s="2" t="n"/>
      <c r="H143" s="12" t="n"/>
    </row>
    <row r="144">
      <c r="C144" s="7" t="n"/>
      <c r="D144" s="7" t="n"/>
      <c r="G144" s="2" t="n"/>
      <c r="H144" s="12" t="n"/>
    </row>
    <row r="145">
      <c r="C145" s="7" t="n"/>
      <c r="D145" s="7" t="n"/>
      <c r="G145" s="2" t="n"/>
      <c r="H145" s="12" t="n"/>
    </row>
    <row r="146">
      <c r="C146" s="7" t="n"/>
      <c r="D146" s="7" t="n"/>
      <c r="G146" s="2" t="n"/>
      <c r="H146" s="12" t="n"/>
    </row>
    <row r="147">
      <c r="C147" s="7" t="n"/>
      <c r="D147" s="7" t="n"/>
      <c r="G147" s="2" t="n"/>
      <c r="H147" s="12" t="n"/>
    </row>
    <row r="148">
      <c r="C148" s="7" t="n"/>
      <c r="D148" s="7" t="n"/>
      <c r="G148" s="2" t="n"/>
      <c r="H148" s="12" t="n"/>
    </row>
    <row r="149">
      <c r="C149" s="7" t="n"/>
      <c r="D149" s="7" t="n"/>
      <c r="G149" s="2" t="n"/>
      <c r="H149" s="12" t="n"/>
    </row>
    <row r="150">
      <c r="C150" s="7" t="n"/>
      <c r="D150" s="7" t="n"/>
      <c r="G150" s="2" t="n"/>
      <c r="H150" s="12" t="n"/>
    </row>
    <row r="151">
      <c r="C151" s="7" t="n"/>
      <c r="D151" s="7" t="n"/>
      <c r="G151" s="2" t="n"/>
      <c r="H151" s="12" t="n"/>
    </row>
    <row r="152">
      <c r="C152" s="7" t="n"/>
      <c r="D152" s="7" t="n"/>
      <c r="G152" s="2" t="n"/>
      <c r="H152" s="12" t="n"/>
    </row>
    <row r="153">
      <c r="C153" s="7" t="n"/>
      <c r="D153" s="7" t="n"/>
      <c r="G153" s="2" t="n"/>
      <c r="H153" s="12" t="n"/>
    </row>
    <row r="154">
      <c r="C154" s="7" t="n"/>
      <c r="D154" s="7" t="n"/>
      <c r="G154" s="2" t="n"/>
      <c r="H154" s="12" t="n"/>
    </row>
    <row r="155">
      <c r="C155" s="7" t="n"/>
      <c r="D155" s="7" t="n"/>
      <c r="G155" s="2" t="n"/>
      <c r="H155" s="12" t="n"/>
    </row>
    <row r="156">
      <c r="C156" s="7" t="n"/>
      <c r="D156" s="7" t="n"/>
      <c r="G156" s="2" t="n"/>
      <c r="H156" s="12" t="n"/>
    </row>
    <row r="157">
      <c r="C157" s="7" t="n"/>
      <c r="D157" s="7" t="n"/>
      <c r="G157" s="2" t="n"/>
      <c r="H157" s="12" t="n"/>
    </row>
    <row r="158">
      <c r="C158" s="7" t="n"/>
      <c r="D158" s="7" t="n"/>
      <c r="G158" s="2" t="n"/>
      <c r="H158" s="12" t="n"/>
    </row>
    <row r="159">
      <c r="C159" s="7" t="n"/>
      <c r="D159" s="7" t="n"/>
      <c r="G159" s="2" t="n"/>
      <c r="H159" s="12" t="n"/>
    </row>
    <row r="160">
      <c r="C160" s="7" t="n"/>
      <c r="D160" s="7" t="n"/>
      <c r="G160" s="2" t="n"/>
      <c r="H160" s="12" t="n"/>
    </row>
    <row r="161">
      <c r="C161" s="7" t="n"/>
      <c r="D161" s="7" t="n"/>
      <c r="G161" s="2" t="n"/>
      <c r="H161" s="12" t="n"/>
    </row>
    <row r="162">
      <c r="C162" s="7" t="n"/>
      <c r="D162" s="7" t="n"/>
      <c r="G162" s="2" t="n"/>
      <c r="H162" s="12" t="n"/>
    </row>
    <row r="163">
      <c r="C163" s="7" t="n"/>
      <c r="D163" s="7" t="n"/>
      <c r="G163" s="2" t="n"/>
      <c r="H163" s="12" t="n"/>
    </row>
    <row r="164">
      <c r="C164" s="7" t="n"/>
      <c r="D164" s="7" t="n"/>
      <c r="G164" s="2" t="n"/>
      <c r="H164" s="12" t="n"/>
    </row>
    <row r="165">
      <c r="C165" s="7" t="n"/>
      <c r="D165" s="7" t="n"/>
      <c r="G165" s="2" t="n"/>
      <c r="H165" s="12" t="n"/>
    </row>
    <row r="166">
      <c r="C166" s="7" t="n"/>
      <c r="D166" s="7" t="n"/>
      <c r="G166" s="2" t="n"/>
      <c r="H166" s="12" t="n"/>
    </row>
    <row r="167">
      <c r="C167" s="7" t="n"/>
      <c r="D167" s="7" t="n"/>
      <c r="G167" s="2" t="n"/>
      <c r="H167" s="12" t="n"/>
    </row>
    <row r="168">
      <c r="C168" s="7" t="n"/>
      <c r="D168" s="7" t="n"/>
      <c r="G168" s="2" t="n"/>
      <c r="H168" s="12" t="n"/>
    </row>
    <row r="169">
      <c r="C169" s="7" t="n"/>
      <c r="D169" s="7" t="n"/>
      <c r="G169" s="2" t="n"/>
      <c r="H169" s="12" t="n"/>
    </row>
    <row r="170">
      <c r="C170" s="7" t="n"/>
      <c r="D170" s="7" t="n"/>
      <c r="G170" s="2" t="n"/>
      <c r="H170" s="12" t="n"/>
    </row>
    <row r="171">
      <c r="C171" s="7" t="n"/>
      <c r="D171" s="7" t="n"/>
      <c r="G171" s="2" t="n"/>
      <c r="H171" s="12" t="n"/>
    </row>
    <row r="172">
      <c r="C172" s="7" t="n"/>
      <c r="D172" s="7" t="n"/>
      <c r="G172" s="2" t="n"/>
      <c r="H172" s="12" t="n"/>
    </row>
    <row r="173">
      <c r="C173" s="7" t="n"/>
      <c r="D173" s="7" t="n"/>
      <c r="G173" s="2" t="n"/>
      <c r="H173" s="12" t="n"/>
    </row>
    <row r="174">
      <c r="C174" s="7" t="n"/>
      <c r="D174" s="7" t="n"/>
      <c r="G174" s="2" t="n"/>
      <c r="H174" s="12" t="n"/>
    </row>
    <row r="175">
      <c r="C175" s="7" t="n"/>
      <c r="D175" s="7" t="n"/>
      <c r="G175" s="2" t="n"/>
      <c r="H175" s="12" t="n"/>
    </row>
    <row r="176">
      <c r="C176" s="7" t="n"/>
      <c r="D176" s="7" t="n"/>
      <c r="G176" s="2" t="n"/>
      <c r="H176" s="12" t="n"/>
    </row>
    <row r="177">
      <c r="C177" s="7" t="n"/>
      <c r="D177" s="7" t="n"/>
      <c r="G177" s="2" t="n"/>
      <c r="H177" s="12" t="n"/>
    </row>
    <row r="178">
      <c r="C178" s="7" t="n"/>
      <c r="D178" s="7" t="n"/>
      <c r="G178" s="2" t="n"/>
      <c r="H178" s="12" t="n"/>
    </row>
    <row r="179">
      <c r="C179" s="7" t="n"/>
      <c r="D179" s="7" t="n"/>
      <c r="G179" s="2" t="n"/>
      <c r="H179" s="12" t="n"/>
    </row>
    <row r="180">
      <c r="C180" s="7" t="n"/>
      <c r="D180" s="7" t="n"/>
      <c r="G180" s="2" t="n"/>
      <c r="H180" s="12" t="n"/>
    </row>
    <row r="181">
      <c r="C181" s="7" t="n"/>
      <c r="D181" s="7" t="n"/>
      <c r="G181" s="2" t="n"/>
      <c r="H181" s="12" t="n"/>
    </row>
    <row r="182">
      <c r="C182" s="7" t="n"/>
      <c r="D182" s="7" t="n"/>
      <c r="G182" s="2" t="n"/>
      <c r="H182" s="12" t="n"/>
    </row>
    <row r="183">
      <c r="C183" s="7" t="n"/>
      <c r="D183" s="7" t="n"/>
      <c r="G183" s="2" t="n"/>
      <c r="H183" s="12" t="n"/>
    </row>
    <row r="184">
      <c r="C184" s="7" t="n"/>
      <c r="D184" s="7" t="n"/>
      <c r="G184" s="2" t="n"/>
      <c r="H184" s="12" t="n"/>
    </row>
    <row r="185">
      <c r="C185" s="7" t="n"/>
      <c r="D185" s="7" t="n"/>
      <c r="G185" s="2" t="n"/>
      <c r="H185" s="12" t="n"/>
    </row>
    <row r="186">
      <c r="C186" s="7" t="n"/>
      <c r="D186" s="7" t="n"/>
      <c r="G186" s="2" t="n"/>
      <c r="H186" s="12" t="n"/>
    </row>
    <row r="187">
      <c r="C187" s="7" t="n"/>
      <c r="D187" s="7" t="n"/>
      <c r="G187" s="2" t="n"/>
      <c r="H187" s="12" t="n"/>
    </row>
    <row r="188">
      <c r="C188" s="7" t="n"/>
      <c r="D188" s="7" t="n"/>
      <c r="G188" s="2" t="n"/>
      <c r="H188" s="12" t="n"/>
    </row>
    <row r="189">
      <c r="C189" s="7" t="n"/>
      <c r="D189" s="7" t="n"/>
      <c r="G189" s="2" t="n"/>
      <c r="H189" s="12" t="n"/>
    </row>
    <row r="190">
      <c r="C190" s="7" t="n"/>
      <c r="D190" s="7" t="n"/>
      <c r="G190" s="2" t="n"/>
      <c r="H190" s="12" t="n"/>
    </row>
    <row r="191">
      <c r="C191" s="7" t="n"/>
      <c r="D191" s="7" t="n"/>
      <c r="G191" s="2" t="n"/>
      <c r="H191" s="12" t="n"/>
    </row>
    <row r="192">
      <c r="C192" s="7" t="n"/>
      <c r="D192" s="7" t="n"/>
      <c r="G192" s="2" t="n"/>
      <c r="H192" s="12" t="n"/>
    </row>
    <row r="193">
      <c r="C193" s="7" t="n"/>
      <c r="D193" s="7" t="n"/>
      <c r="G193" s="2" t="n"/>
      <c r="H193" s="12" t="n"/>
    </row>
    <row r="194">
      <c r="C194" s="7" t="n"/>
      <c r="D194" s="7" t="n"/>
      <c r="G194" s="2" t="n"/>
      <c r="H194" s="12" t="n"/>
    </row>
    <row r="195">
      <c r="C195" s="7" t="n"/>
      <c r="D195" s="7" t="n"/>
      <c r="G195" s="2" t="n"/>
      <c r="H195" s="12" t="n"/>
    </row>
    <row r="196">
      <c r="C196" s="7" t="n"/>
      <c r="D196" s="7" t="n"/>
      <c r="G196" s="2" t="n"/>
      <c r="H196" s="12" t="n"/>
    </row>
    <row r="197">
      <c r="C197" s="7" t="n"/>
      <c r="D197" s="7" t="n"/>
      <c r="G197" s="2" t="n"/>
      <c r="H197" s="12" t="n"/>
    </row>
    <row r="198">
      <c r="C198" s="7" t="n"/>
      <c r="D198" s="7" t="n"/>
      <c r="G198" s="2" t="n"/>
      <c r="H198" s="12" t="n"/>
    </row>
    <row r="199">
      <c r="C199" s="7" t="n"/>
      <c r="D199" s="7" t="n"/>
      <c r="G199" s="2" t="n"/>
      <c r="H199" s="12" t="n"/>
    </row>
    <row r="200">
      <c r="C200" s="7" t="n"/>
      <c r="D200" s="7" t="n"/>
      <c r="G200" s="2" t="n"/>
      <c r="H200" s="12" t="n"/>
    </row>
    <row r="201">
      <c r="C201" s="7" t="n"/>
      <c r="D201" s="7" t="n"/>
      <c r="G201" s="2" t="n"/>
      <c r="H201" s="12" t="n"/>
    </row>
    <row r="202">
      <c r="C202" s="7" t="n"/>
      <c r="D202" s="7" t="n"/>
      <c r="G202" s="2" t="n"/>
      <c r="H202" s="12" t="n"/>
    </row>
    <row r="203">
      <c r="C203" s="7" t="n"/>
      <c r="D203" s="7" t="n"/>
      <c r="G203" s="2" t="n"/>
      <c r="H203" s="12" t="n"/>
    </row>
    <row r="204">
      <c r="C204" s="7" t="n"/>
      <c r="D204" s="7" t="n"/>
      <c r="G204" s="2" t="n"/>
      <c r="H204" s="12" t="n"/>
    </row>
    <row r="205">
      <c r="C205" s="7" t="n"/>
      <c r="D205" s="7" t="n"/>
      <c r="G205" s="2" t="n"/>
      <c r="H205" s="12" t="n"/>
    </row>
    <row r="206">
      <c r="C206" s="7" t="n"/>
      <c r="D206" s="7" t="n"/>
      <c r="G206" s="2" t="n"/>
      <c r="H206" s="12" t="n"/>
    </row>
    <row r="207">
      <c r="C207" s="7" t="n"/>
      <c r="D207" s="7" t="n"/>
      <c r="G207" s="2" t="n"/>
      <c r="H207" s="12" t="n"/>
    </row>
    <row r="208">
      <c r="C208" s="7" t="n"/>
      <c r="D208" s="7" t="n"/>
      <c r="G208" s="2" t="n"/>
      <c r="H208" s="12" t="n"/>
    </row>
    <row r="209">
      <c r="C209" s="7" t="n"/>
      <c r="D209" s="7" t="n"/>
      <c r="G209" s="2" t="n"/>
      <c r="H209" s="12" t="n"/>
    </row>
    <row r="210">
      <c r="C210" s="7" t="n"/>
      <c r="D210" s="7" t="n"/>
      <c r="G210" s="2" t="n"/>
      <c r="H210" s="12" t="n"/>
    </row>
    <row r="211">
      <c r="C211" s="7" t="n"/>
      <c r="D211" s="7" t="n"/>
      <c r="G211" s="2" t="n"/>
      <c r="H211" s="12" t="n"/>
    </row>
    <row r="212">
      <c r="C212" s="7" t="n"/>
      <c r="D212" s="7" t="n"/>
      <c r="G212" s="2" t="n"/>
      <c r="H212" s="12" t="n"/>
    </row>
    <row r="213">
      <c r="C213" s="7" t="n"/>
      <c r="D213" s="7" t="n"/>
      <c r="G213" s="2" t="n"/>
      <c r="H213" s="12" t="n"/>
    </row>
    <row r="214">
      <c r="C214" s="7" t="n"/>
      <c r="D214" s="7" t="n"/>
      <c r="G214" s="2" t="n"/>
      <c r="H214" s="12" t="n"/>
    </row>
    <row r="215">
      <c r="C215" s="7" t="n"/>
      <c r="D215" s="7" t="n"/>
      <c r="G215" s="2" t="n"/>
      <c r="H215" s="12" t="n"/>
    </row>
    <row r="216">
      <c r="C216" s="7" t="n"/>
      <c r="D216" s="7" t="n"/>
      <c r="G216" s="2" t="n"/>
      <c r="H216" s="12" t="n"/>
    </row>
    <row r="217">
      <c r="C217" s="7" t="n"/>
      <c r="D217" s="7" t="n"/>
      <c r="G217" s="2" t="n"/>
      <c r="H217" s="12" t="n"/>
    </row>
    <row r="218">
      <c r="C218" s="7" t="n"/>
      <c r="D218" s="7" t="n"/>
      <c r="G218" s="2" t="n"/>
      <c r="H218" s="12" t="n"/>
    </row>
    <row r="219">
      <c r="C219" s="7" t="n"/>
      <c r="D219" s="7" t="n"/>
      <c r="G219" s="2" t="n"/>
      <c r="H219" s="12" t="n"/>
    </row>
    <row r="220">
      <c r="C220" s="7" t="n"/>
      <c r="D220" s="7" t="n"/>
      <c r="G220" s="2" t="n"/>
      <c r="H220" s="12" t="n"/>
    </row>
    <row r="221">
      <c r="C221" s="7" t="n"/>
      <c r="D221" s="7" t="n"/>
      <c r="G221" s="2" t="n"/>
      <c r="H221" s="12" t="n"/>
    </row>
    <row r="222">
      <c r="C222" s="7" t="n"/>
      <c r="D222" s="7" t="n"/>
      <c r="G222" s="2" t="n"/>
      <c r="H222" s="12" t="n"/>
    </row>
    <row r="223">
      <c r="C223" s="7" t="n"/>
      <c r="D223" s="7" t="n"/>
      <c r="G223" s="2" t="n"/>
      <c r="H223" s="12" t="n"/>
    </row>
    <row r="224">
      <c r="C224" s="7" t="n"/>
      <c r="D224" s="7" t="n"/>
      <c r="G224" s="2" t="n"/>
      <c r="H224" s="12" t="n"/>
    </row>
    <row r="225">
      <c r="C225" s="7" t="n"/>
      <c r="D225" s="7" t="n"/>
      <c r="G225" s="2" t="n"/>
      <c r="H225" s="12" t="n"/>
    </row>
    <row r="226">
      <c r="C226" s="7" t="n"/>
      <c r="D226" s="7" t="n"/>
      <c r="G226" s="2" t="n"/>
      <c r="H226" s="12" t="n"/>
    </row>
    <row r="227">
      <c r="C227" s="7" t="n"/>
      <c r="D227" s="7" t="n"/>
      <c r="G227" s="2" t="n"/>
      <c r="H227" s="12" t="n"/>
    </row>
    <row r="228">
      <c r="C228" s="7" t="n"/>
      <c r="D228" s="7" t="n"/>
      <c r="G228" s="2" t="n"/>
      <c r="H228" s="12" t="n"/>
    </row>
    <row r="229">
      <c r="C229" s="7" t="n"/>
      <c r="D229" s="7" t="n"/>
      <c r="G229" s="2" t="n"/>
      <c r="H229" s="12" t="n"/>
    </row>
    <row r="230">
      <c r="C230" s="7" t="n"/>
      <c r="D230" s="7" t="n"/>
      <c r="G230" s="2" t="n"/>
      <c r="H230" s="12" t="n"/>
    </row>
    <row r="231">
      <c r="C231" s="7" t="n"/>
      <c r="D231" s="7" t="n"/>
      <c r="G231" s="2" t="n"/>
      <c r="H231" s="12" t="n"/>
    </row>
    <row r="232">
      <c r="C232" s="7" t="n"/>
      <c r="D232" s="7" t="n"/>
      <c r="G232" s="2" t="n"/>
      <c r="H232" s="12" t="n"/>
    </row>
    <row r="233">
      <c r="C233" s="7" t="n"/>
      <c r="D233" s="7" t="n"/>
      <c r="G233" s="2" t="n"/>
      <c r="H233" s="12" t="n"/>
    </row>
    <row r="234">
      <c r="C234" s="7" t="n"/>
      <c r="D234" s="7" t="n"/>
      <c r="G234" s="2" t="n"/>
      <c r="H234" s="12" t="n"/>
    </row>
    <row r="235">
      <c r="C235" s="7" t="n"/>
      <c r="D235" s="7" t="n"/>
      <c r="G235" s="2" t="n"/>
      <c r="H235" s="12" t="n"/>
    </row>
    <row r="236">
      <c r="C236" s="7" t="n"/>
      <c r="D236" s="7" t="n"/>
      <c r="G236" s="2" t="n"/>
      <c r="H236" s="12" t="n"/>
    </row>
    <row r="237">
      <c r="C237" s="7" t="n"/>
      <c r="D237" s="7" t="n"/>
      <c r="G237" s="2" t="n"/>
      <c r="H237" s="12" t="n"/>
    </row>
    <row r="238">
      <c r="C238" s="7" t="n"/>
      <c r="D238" s="7" t="n"/>
      <c r="G238" s="2" t="n"/>
      <c r="H238" s="12" t="n"/>
    </row>
    <row r="239">
      <c r="C239" s="7" t="n"/>
      <c r="D239" s="7" t="n"/>
      <c r="G239" s="2" t="n"/>
      <c r="H239" s="12" t="n"/>
    </row>
    <row r="240">
      <c r="C240" s="7" t="n"/>
      <c r="D240" s="7" t="n"/>
      <c r="G240" s="2" t="n"/>
      <c r="H240" s="12" t="n"/>
    </row>
    <row r="241">
      <c r="C241" s="7" t="n"/>
      <c r="D241" s="7" t="n"/>
      <c r="G241" s="2" t="n"/>
      <c r="H241" s="12" t="n"/>
    </row>
    <row r="242">
      <c r="C242" s="7" t="n"/>
      <c r="D242" s="7" t="n"/>
      <c r="G242" s="2" t="n"/>
      <c r="H242" s="12" t="n"/>
    </row>
    <row r="243">
      <c r="C243" s="7" t="n"/>
      <c r="D243" s="7" t="n"/>
      <c r="G243" s="2" t="n"/>
      <c r="H243" s="12" t="n"/>
    </row>
    <row r="244">
      <c r="C244" s="7" t="n"/>
      <c r="D244" s="7" t="n"/>
      <c r="G244" s="2" t="n"/>
      <c r="H244" s="12" t="n"/>
    </row>
    <row r="245">
      <c r="C245" s="7" t="n"/>
      <c r="D245" s="7" t="n"/>
      <c r="G245" s="2" t="n"/>
      <c r="H245" s="12" t="n"/>
    </row>
    <row r="246">
      <c r="C246" s="7" t="n"/>
      <c r="D246" s="7" t="n"/>
      <c r="G246" s="2" t="n"/>
      <c r="H246" s="12" t="n"/>
    </row>
    <row r="247">
      <c r="C247" s="7" t="n"/>
      <c r="D247" s="7" t="n"/>
      <c r="G247" s="2" t="n"/>
      <c r="H247" s="12" t="n"/>
    </row>
    <row r="248">
      <c r="C248" s="7" t="n"/>
      <c r="D248" s="7" t="n"/>
      <c r="G248" s="2" t="n"/>
      <c r="H248" s="12" t="n"/>
    </row>
    <row r="249">
      <c r="C249" s="7" t="n"/>
      <c r="D249" s="7" t="n"/>
      <c r="G249" s="2" t="n"/>
      <c r="H249" s="12" t="n"/>
    </row>
    <row r="250">
      <c r="C250" s="7" t="n"/>
      <c r="D250" s="7" t="n"/>
      <c r="G250" s="2" t="n"/>
      <c r="H250" s="12" t="n"/>
    </row>
    <row r="251">
      <c r="C251" s="7" t="n"/>
      <c r="D251" s="7" t="n"/>
      <c r="G251" s="2" t="n"/>
      <c r="H251" s="12" t="n"/>
    </row>
    <row r="252">
      <c r="C252" s="7" t="n"/>
      <c r="D252" s="7" t="n"/>
      <c r="G252" s="2" t="n"/>
      <c r="H252" s="12" t="n"/>
    </row>
    <row r="253">
      <c r="C253" s="7" t="n"/>
      <c r="D253" s="7" t="n"/>
      <c r="G253" s="2" t="n"/>
      <c r="H253" s="12" t="n"/>
    </row>
    <row r="254">
      <c r="C254" s="7" t="n"/>
      <c r="D254" s="7" t="n"/>
      <c r="G254" s="2" t="n"/>
      <c r="H254" s="12" t="n"/>
    </row>
    <row r="255">
      <c r="C255" s="7" t="n"/>
      <c r="D255" s="7" t="n"/>
      <c r="G255" s="2" t="n"/>
      <c r="H255" s="12" t="n"/>
    </row>
    <row r="256">
      <c r="C256" s="7" t="n"/>
      <c r="D256" s="7" t="n"/>
      <c r="G256" s="2" t="n"/>
      <c r="H256" s="12" t="n"/>
    </row>
    <row r="257">
      <c r="C257" s="7" t="n"/>
      <c r="D257" s="7" t="n"/>
      <c r="G257" s="2" t="n"/>
      <c r="H257" s="12" t="n"/>
    </row>
    <row r="258">
      <c r="C258" s="7" t="n"/>
      <c r="D258" s="7" t="n"/>
      <c r="G258" s="2" t="n"/>
      <c r="H258" s="12" t="n"/>
    </row>
    <row r="259">
      <c r="C259" s="7" t="n"/>
      <c r="D259" s="7" t="n"/>
      <c r="G259" s="2" t="n"/>
      <c r="H259" s="12" t="n"/>
    </row>
    <row r="260">
      <c r="C260" s="7" t="n"/>
      <c r="D260" s="7" t="n"/>
      <c r="G260" s="2" t="n"/>
      <c r="H260" s="12" t="n"/>
    </row>
    <row r="261">
      <c r="C261" s="7" t="n"/>
      <c r="D261" s="7" t="n"/>
      <c r="G261" s="2" t="n"/>
      <c r="H261" s="12" t="n"/>
    </row>
    <row r="262">
      <c r="C262" s="7" t="n"/>
      <c r="D262" s="7" t="n"/>
      <c r="G262" s="2" t="n"/>
      <c r="H262" s="12" t="n"/>
    </row>
    <row r="263">
      <c r="C263" s="7" t="n"/>
      <c r="D263" s="7" t="n"/>
      <c r="G263" s="2" t="n"/>
      <c r="H263" s="12" t="n"/>
    </row>
    <row r="264">
      <c r="C264" s="7" t="n"/>
      <c r="D264" s="7" t="n"/>
      <c r="G264" s="2" t="n"/>
      <c r="H264" s="12" t="n"/>
    </row>
    <row r="265">
      <c r="C265" s="7" t="n"/>
      <c r="D265" s="7" t="n"/>
      <c r="G265" s="2" t="n"/>
      <c r="H265" s="12" t="n"/>
    </row>
    <row r="266">
      <c r="C266" s="7" t="n"/>
      <c r="D266" s="7" t="n"/>
      <c r="G266" s="2" t="n"/>
      <c r="H266" s="12" t="n"/>
    </row>
    <row r="267">
      <c r="C267" s="7" t="n"/>
      <c r="D267" s="7" t="n"/>
      <c r="G267" s="2" t="n"/>
      <c r="H267" s="12" t="n"/>
    </row>
    <row r="268">
      <c r="C268" s="7" t="n"/>
      <c r="D268" s="7" t="n"/>
      <c r="G268" s="2" t="n"/>
      <c r="H268" s="12" t="n"/>
    </row>
    <row r="269">
      <c r="C269" s="7" t="n"/>
      <c r="D269" s="7" t="n"/>
      <c r="G269" s="2" t="n"/>
      <c r="H269" s="12" t="n"/>
    </row>
    <row r="270">
      <c r="C270" s="7" t="n"/>
      <c r="D270" s="7" t="n"/>
      <c r="G270" s="2" t="n"/>
      <c r="H270" s="12" t="n"/>
    </row>
    <row r="271">
      <c r="C271" s="7" t="n"/>
      <c r="D271" s="7" t="n"/>
      <c r="G271" s="2" t="n"/>
      <c r="H271" s="12" t="n"/>
    </row>
    <row r="272">
      <c r="C272" s="7" t="n"/>
      <c r="D272" s="7" t="n"/>
      <c r="G272" s="2" t="n"/>
      <c r="H272" s="12" t="n"/>
    </row>
    <row r="273">
      <c r="C273" s="7" t="n"/>
      <c r="D273" s="7" t="n"/>
      <c r="G273" s="2" t="n"/>
      <c r="H273" s="12" t="n"/>
    </row>
    <row r="274">
      <c r="C274" s="7" t="n"/>
      <c r="D274" s="7" t="n"/>
      <c r="G274" s="2" t="n"/>
      <c r="H274" s="12" t="n"/>
    </row>
    <row r="275">
      <c r="C275" s="7" t="n"/>
      <c r="D275" s="7" t="n"/>
      <c r="G275" s="2" t="n"/>
      <c r="H275" s="12" t="n"/>
    </row>
    <row r="276">
      <c r="C276" s="7" t="n"/>
      <c r="D276" s="7" t="n"/>
      <c r="G276" s="2" t="n"/>
      <c r="H276" s="12" t="n"/>
    </row>
    <row r="277">
      <c r="C277" s="7" t="n"/>
      <c r="D277" s="7" t="n"/>
      <c r="G277" s="2" t="n"/>
      <c r="H277" s="12" t="n"/>
    </row>
    <row r="278">
      <c r="C278" s="7" t="n"/>
      <c r="D278" s="7" t="n"/>
      <c r="G278" s="2" t="n"/>
      <c r="H278" s="12" t="n"/>
    </row>
    <row r="279">
      <c r="C279" s="7" t="n"/>
      <c r="D279" s="7" t="n"/>
      <c r="G279" s="2" t="n"/>
      <c r="H279" s="12" t="n"/>
    </row>
    <row r="280">
      <c r="C280" s="7" t="n"/>
      <c r="D280" s="7" t="n"/>
      <c r="G280" s="2" t="n"/>
      <c r="H280" s="12" t="n"/>
    </row>
    <row r="281">
      <c r="C281" s="7" t="n"/>
      <c r="D281" s="7" t="n"/>
      <c r="G281" s="2" t="n"/>
      <c r="H281" s="12" t="n"/>
    </row>
    <row r="282">
      <c r="C282" s="7" t="n"/>
      <c r="D282" s="7" t="n"/>
      <c r="G282" s="2" t="n"/>
      <c r="H282" s="12" t="n"/>
    </row>
    <row r="283">
      <c r="C283" s="7" t="n"/>
      <c r="D283" s="7" t="n"/>
      <c r="G283" s="2" t="n"/>
      <c r="H283" s="12" t="n"/>
    </row>
    <row r="284">
      <c r="C284" s="7" t="n"/>
      <c r="D284" s="7" t="n"/>
      <c r="G284" s="2" t="n"/>
      <c r="H284" s="12" t="n"/>
    </row>
    <row r="285">
      <c r="C285" s="7" t="n"/>
      <c r="D285" s="7" t="n"/>
      <c r="G285" s="2" t="n"/>
      <c r="H285" s="12" t="n"/>
    </row>
    <row r="286">
      <c r="C286" s="7" t="n"/>
      <c r="D286" s="7" t="n"/>
      <c r="G286" s="2" t="n"/>
      <c r="H286" s="12" t="n"/>
    </row>
    <row r="287">
      <c r="C287" s="7" t="n"/>
      <c r="D287" s="7" t="n"/>
      <c r="G287" s="2" t="n"/>
      <c r="H287" s="12" t="n"/>
    </row>
    <row r="288">
      <c r="C288" s="7" t="n"/>
      <c r="D288" s="7" t="n"/>
      <c r="G288" s="2" t="n"/>
      <c r="H288" s="12" t="n"/>
    </row>
    <row r="289">
      <c r="C289" s="7" t="n"/>
      <c r="D289" s="7" t="n"/>
      <c r="G289" s="2" t="n"/>
      <c r="H289" s="12" t="n"/>
    </row>
    <row r="290">
      <c r="C290" s="7" t="n"/>
      <c r="D290" s="7" t="n"/>
      <c r="G290" s="2" t="n"/>
      <c r="H290" s="12" t="n"/>
    </row>
    <row r="291">
      <c r="C291" s="7" t="n"/>
      <c r="D291" s="7" t="n"/>
      <c r="G291" s="2" t="n"/>
      <c r="H291" s="12" t="n"/>
    </row>
    <row r="292">
      <c r="C292" s="7" t="n"/>
      <c r="D292" s="7" t="n"/>
      <c r="G292" s="2" t="n"/>
      <c r="H292" s="12" t="n"/>
    </row>
    <row r="293">
      <c r="C293" s="7" t="n"/>
      <c r="D293" s="7" t="n"/>
      <c r="G293" s="2" t="n"/>
      <c r="H293" s="12" t="n"/>
    </row>
    <row r="294">
      <c r="C294" s="7" t="n"/>
      <c r="D294" s="7" t="n"/>
      <c r="G294" s="2" t="n"/>
      <c r="H294" s="12" t="n"/>
    </row>
    <row r="295">
      <c r="C295" s="7" t="n"/>
      <c r="D295" s="7" t="n"/>
      <c r="G295" s="2" t="n"/>
      <c r="H295" s="12" t="n"/>
    </row>
    <row r="296">
      <c r="C296" s="7" t="n"/>
      <c r="D296" s="7" t="n"/>
      <c r="G296" s="2" t="n"/>
      <c r="H296" s="12" t="n"/>
    </row>
    <row r="297">
      <c r="C297" s="7" t="n"/>
      <c r="D297" s="7" t="n"/>
      <c r="G297" s="2" t="n"/>
      <c r="H297" s="12" t="n"/>
    </row>
    <row r="298">
      <c r="C298" s="7" t="n"/>
      <c r="D298" s="7" t="n"/>
      <c r="G298" s="2" t="n"/>
      <c r="H298" s="12" t="n"/>
    </row>
    <row r="299">
      <c r="C299" s="7" t="n"/>
      <c r="D299" s="7" t="n"/>
      <c r="G299" s="2" t="n"/>
      <c r="H299" s="12" t="n"/>
    </row>
    <row r="300">
      <c r="C300" s="7" t="n"/>
      <c r="D300" s="7" t="n"/>
      <c r="G300" s="2" t="n"/>
      <c r="H300" s="12" t="n"/>
    </row>
    <row r="301">
      <c r="C301" s="7" t="n"/>
      <c r="D301" s="7" t="n"/>
      <c r="G301" s="2" t="n"/>
      <c r="H301" s="12" t="n"/>
    </row>
    <row r="302">
      <c r="C302" s="7" t="n"/>
      <c r="D302" s="7" t="n"/>
      <c r="G302" s="2" t="n"/>
      <c r="H302" s="12" t="n"/>
    </row>
    <row r="303">
      <c r="C303" s="7" t="n"/>
      <c r="D303" s="7" t="n"/>
      <c r="G303" s="2" t="n"/>
      <c r="H303" s="12" t="n"/>
    </row>
    <row r="304">
      <c r="C304" s="7" t="n"/>
      <c r="D304" s="7" t="n"/>
      <c r="G304" s="2" t="n"/>
      <c r="H304" s="12" t="n"/>
    </row>
    <row r="305">
      <c r="C305" s="7" t="n"/>
      <c r="D305" s="7" t="n"/>
      <c r="G305" s="2" t="n"/>
      <c r="H305" s="12" t="n"/>
    </row>
    <row r="306">
      <c r="C306" s="7" t="n"/>
      <c r="D306" s="7" t="n"/>
      <c r="G306" s="2" t="n"/>
      <c r="H306" s="12" t="n"/>
    </row>
    <row r="307">
      <c r="C307" s="7" t="n"/>
      <c r="D307" s="7" t="n"/>
      <c r="G307" s="2" t="n"/>
      <c r="H307" s="12" t="n"/>
    </row>
    <row r="308">
      <c r="C308" s="7" t="n"/>
      <c r="D308" s="7" t="n"/>
      <c r="G308" s="2" t="n"/>
      <c r="H308" s="12" t="n"/>
    </row>
    <row r="309">
      <c r="C309" s="7" t="n"/>
      <c r="D309" s="7" t="n"/>
      <c r="G309" s="2" t="n"/>
      <c r="H309" s="12" t="n"/>
    </row>
    <row r="310">
      <c r="C310" s="7" t="n"/>
      <c r="D310" s="7" t="n"/>
      <c r="G310" s="2" t="n"/>
      <c r="H310" s="12" t="n"/>
    </row>
    <row r="311">
      <c r="C311" s="7" t="n"/>
      <c r="D311" s="7" t="n"/>
      <c r="G311" s="2" t="n"/>
      <c r="H311" s="12" t="n"/>
    </row>
    <row r="312">
      <c r="C312" s="7" t="n"/>
      <c r="D312" s="7" t="n"/>
      <c r="G312" s="2" t="n"/>
      <c r="H312" s="12" t="n"/>
    </row>
    <row r="313">
      <c r="C313" s="7" t="n"/>
      <c r="D313" s="7" t="n"/>
      <c r="G313" s="2" t="n"/>
      <c r="H313" s="12" t="n"/>
    </row>
    <row r="314">
      <c r="C314" s="7" t="n"/>
      <c r="D314" s="7" t="n"/>
      <c r="G314" s="2" t="n"/>
      <c r="H314" s="12" t="n"/>
    </row>
    <row r="315">
      <c r="C315" s="7" t="n"/>
      <c r="D315" s="7" t="n"/>
      <c r="G315" s="2" t="n"/>
      <c r="H315" s="12" t="n"/>
    </row>
    <row r="316">
      <c r="C316" s="7" t="n"/>
      <c r="D316" s="7" t="n"/>
      <c r="G316" s="2" t="n"/>
      <c r="H316" s="12" t="n"/>
    </row>
    <row r="317">
      <c r="C317" s="7" t="n"/>
      <c r="D317" s="7" t="n"/>
      <c r="G317" s="2" t="n"/>
      <c r="H317" s="12" t="n"/>
    </row>
    <row r="318">
      <c r="C318" s="7" t="n"/>
      <c r="D318" s="7" t="n"/>
      <c r="G318" s="2" t="n"/>
      <c r="H318" s="12" t="n"/>
    </row>
    <row r="319">
      <c r="C319" s="7" t="n"/>
      <c r="D319" s="7" t="n"/>
      <c r="G319" s="2" t="n"/>
      <c r="H319" s="12" t="n"/>
    </row>
    <row r="320">
      <c r="C320" s="7" t="n"/>
      <c r="D320" s="7" t="n"/>
      <c r="G320" s="2" t="n"/>
      <c r="H320" s="12" t="n"/>
    </row>
    <row r="321">
      <c r="C321" s="7" t="n"/>
      <c r="D321" s="7" t="n"/>
      <c r="G321" s="2" t="n"/>
      <c r="H321" s="12" t="n"/>
    </row>
    <row r="322">
      <c r="C322" s="7" t="n"/>
      <c r="D322" s="7" t="n"/>
      <c r="G322" s="2" t="n"/>
      <c r="H322" s="12" t="n"/>
    </row>
    <row r="323">
      <c r="C323" s="7" t="n"/>
      <c r="D323" s="7" t="n"/>
      <c r="G323" s="2" t="n"/>
      <c r="H323" s="12" t="n"/>
    </row>
    <row r="324">
      <c r="C324" s="7" t="n"/>
      <c r="D324" s="7" t="n"/>
      <c r="G324" s="2" t="n"/>
      <c r="H324" s="12" t="n"/>
    </row>
    <row r="325">
      <c r="C325" s="7" t="n"/>
      <c r="D325" s="7" t="n"/>
      <c r="G325" s="2" t="n"/>
      <c r="H325" s="12" t="n"/>
    </row>
    <row r="326">
      <c r="C326" s="7" t="n"/>
      <c r="D326" s="7" t="n"/>
      <c r="G326" s="2" t="n"/>
      <c r="H326" s="12" t="n"/>
    </row>
    <row r="327">
      <c r="C327" s="7" t="n"/>
      <c r="D327" s="7" t="n"/>
      <c r="G327" s="2" t="n"/>
      <c r="H327" s="12" t="n"/>
    </row>
    <row r="328">
      <c r="C328" s="7" t="n"/>
      <c r="D328" s="7" t="n"/>
      <c r="G328" s="2" t="n"/>
      <c r="H328" s="12" t="n"/>
    </row>
    <row r="329">
      <c r="C329" s="7" t="n"/>
      <c r="D329" s="7" t="n"/>
      <c r="G329" s="2" t="n"/>
      <c r="H329" s="12" t="n"/>
    </row>
    <row r="330">
      <c r="C330" s="7" t="n"/>
      <c r="D330" s="7" t="n"/>
      <c r="G330" s="2" t="n"/>
      <c r="H330" s="12" t="n"/>
    </row>
    <row r="331">
      <c r="C331" s="7" t="n"/>
      <c r="D331" s="7" t="n"/>
      <c r="G331" s="2" t="n"/>
      <c r="H331" s="12" t="n"/>
    </row>
    <row r="332">
      <c r="C332" s="7" t="n"/>
      <c r="D332" s="7" t="n"/>
      <c r="G332" s="2" t="n"/>
      <c r="H332" s="12" t="n"/>
    </row>
    <row r="333">
      <c r="C333" s="7" t="n"/>
      <c r="D333" s="7" t="n"/>
      <c r="G333" s="2" t="n"/>
      <c r="H333" s="12" t="n"/>
    </row>
    <row r="334">
      <c r="C334" s="7" t="n"/>
      <c r="D334" s="7" t="n"/>
      <c r="G334" s="2" t="n"/>
      <c r="H334" s="12" t="n"/>
    </row>
    <row r="335">
      <c r="C335" s="7" t="n"/>
      <c r="D335" s="7" t="n"/>
      <c r="G335" s="2" t="n"/>
      <c r="H335" s="12" t="n"/>
    </row>
    <row r="336">
      <c r="C336" s="7" t="n"/>
      <c r="D336" s="7" t="n"/>
      <c r="G336" s="2" t="n"/>
      <c r="H336" s="12" t="n"/>
    </row>
    <row r="337">
      <c r="C337" s="7" t="n"/>
      <c r="D337" s="7" t="n"/>
      <c r="G337" s="2" t="n"/>
      <c r="H337" s="12" t="n"/>
    </row>
    <row r="338">
      <c r="C338" s="7" t="n"/>
      <c r="D338" s="7" t="n"/>
      <c r="G338" s="2" t="n"/>
      <c r="H338" s="12" t="n"/>
    </row>
    <row r="339">
      <c r="C339" s="7" t="n"/>
      <c r="D339" s="7" t="n"/>
      <c r="G339" s="2" t="n"/>
      <c r="H339" s="12" t="n"/>
    </row>
    <row r="340">
      <c r="C340" s="7" t="n"/>
      <c r="D340" s="7" t="n"/>
      <c r="G340" s="2" t="n"/>
      <c r="H340" s="12" t="n"/>
    </row>
    <row r="341">
      <c r="C341" s="7" t="n"/>
      <c r="D341" s="7" t="n"/>
      <c r="G341" s="2" t="n"/>
      <c r="H341" s="12" t="n"/>
    </row>
    <row r="342">
      <c r="C342" s="7" t="n"/>
      <c r="D342" s="7" t="n"/>
      <c r="G342" s="2" t="n"/>
      <c r="H342" s="12" t="n"/>
    </row>
    <row r="343">
      <c r="C343" s="7" t="n"/>
      <c r="D343" s="7" t="n"/>
      <c r="G343" s="2" t="n"/>
      <c r="H343" s="12" t="n"/>
    </row>
    <row r="344">
      <c r="C344" s="7" t="n"/>
      <c r="D344" s="7" t="n"/>
      <c r="G344" s="2" t="n"/>
      <c r="H344" s="12" t="n"/>
    </row>
    <row r="345">
      <c r="C345" s="7" t="n"/>
      <c r="D345" s="7" t="n"/>
      <c r="G345" s="2" t="n"/>
      <c r="H345" s="12" t="n"/>
    </row>
    <row r="346">
      <c r="C346" s="7" t="n"/>
      <c r="D346" s="7" t="n"/>
      <c r="G346" s="2" t="n"/>
      <c r="H346" s="12" t="n"/>
    </row>
    <row r="347">
      <c r="C347" s="7" t="n"/>
      <c r="D347" s="7" t="n"/>
      <c r="G347" s="2" t="n"/>
      <c r="H347" s="12" t="n"/>
    </row>
    <row r="348">
      <c r="C348" s="7" t="n"/>
      <c r="D348" s="7" t="n"/>
      <c r="G348" s="2" t="n"/>
      <c r="H348" s="12" t="n"/>
    </row>
    <row r="349">
      <c r="C349" s="7" t="n"/>
      <c r="D349" s="7" t="n"/>
      <c r="G349" s="2" t="n"/>
      <c r="H349" s="12" t="n"/>
    </row>
    <row r="350">
      <c r="C350" s="7" t="n"/>
      <c r="D350" s="7" t="n"/>
      <c r="G350" s="2" t="n"/>
      <c r="H350" s="12" t="n"/>
    </row>
    <row r="351">
      <c r="C351" s="7" t="n"/>
      <c r="D351" s="7" t="n"/>
      <c r="G351" s="2" t="n"/>
      <c r="H351" s="12" t="n"/>
    </row>
    <row r="352">
      <c r="C352" s="7" t="n"/>
      <c r="D352" s="7" t="n"/>
      <c r="G352" s="2" t="n"/>
      <c r="H352" s="12" t="n"/>
    </row>
    <row r="353">
      <c r="C353" s="7" t="n"/>
      <c r="D353" s="7" t="n"/>
      <c r="G353" s="2" t="n"/>
      <c r="H353" s="12" t="n"/>
    </row>
    <row r="354">
      <c r="C354" s="7" t="n"/>
      <c r="D354" s="7" t="n"/>
      <c r="G354" s="2" t="n"/>
      <c r="H354" s="12" t="n"/>
    </row>
    <row r="355">
      <c r="C355" s="7" t="n"/>
      <c r="D355" s="7" t="n"/>
      <c r="G355" s="2" t="n"/>
      <c r="H355" s="12" t="n"/>
    </row>
    <row r="356">
      <c r="C356" s="7" t="n"/>
      <c r="D356" s="7" t="n"/>
      <c r="G356" s="2" t="n"/>
      <c r="H356" s="12" t="n"/>
    </row>
    <row r="357">
      <c r="C357" s="7" t="n"/>
      <c r="D357" s="7" t="n"/>
      <c r="G357" s="2" t="n"/>
      <c r="H357" s="12" t="n"/>
    </row>
    <row r="358">
      <c r="C358" s="7" t="n"/>
      <c r="D358" s="7" t="n"/>
      <c r="G358" s="2" t="n"/>
      <c r="H358" s="12" t="n"/>
    </row>
    <row r="359">
      <c r="C359" s="7" t="n"/>
      <c r="D359" s="7" t="n"/>
      <c r="G359" s="2" t="n"/>
      <c r="H359" s="12" t="n"/>
    </row>
    <row r="360">
      <c r="C360" s="7" t="n"/>
      <c r="D360" s="7" t="n"/>
      <c r="G360" s="2" t="n"/>
      <c r="H360" s="12" t="n"/>
    </row>
    <row r="361">
      <c r="C361" s="7" t="n"/>
      <c r="D361" s="7" t="n"/>
      <c r="G361" s="2" t="n"/>
      <c r="H361" s="12" t="n"/>
    </row>
    <row r="362">
      <c r="C362" s="7" t="n"/>
      <c r="D362" s="7" t="n"/>
      <c r="G362" s="2" t="n"/>
      <c r="H362" s="12" t="n"/>
    </row>
    <row r="363">
      <c r="C363" s="7" t="n"/>
      <c r="D363" s="7" t="n"/>
      <c r="G363" s="2" t="n"/>
      <c r="H363" s="12" t="n"/>
    </row>
    <row r="364">
      <c r="C364" s="7" t="n"/>
      <c r="D364" s="7" t="n"/>
      <c r="G364" s="2" t="n"/>
      <c r="H364" s="12" t="n"/>
    </row>
    <row r="365">
      <c r="C365" s="7" t="n"/>
      <c r="D365" s="7" t="n"/>
      <c r="G365" s="2" t="n"/>
      <c r="H365" s="12" t="n"/>
    </row>
    <row r="366">
      <c r="C366" s="7" t="n"/>
      <c r="D366" s="7" t="n"/>
      <c r="G366" s="2" t="n"/>
      <c r="H366" s="12" t="n"/>
    </row>
    <row r="367">
      <c r="C367" s="7" t="n"/>
      <c r="D367" s="7" t="n"/>
      <c r="G367" s="2" t="n"/>
      <c r="H367" s="12" t="n"/>
    </row>
    <row r="368">
      <c r="C368" s="7" t="n"/>
      <c r="D368" s="7" t="n"/>
      <c r="G368" s="2" t="n"/>
      <c r="H368" s="12" t="n"/>
    </row>
    <row r="369">
      <c r="C369" s="7" t="n"/>
      <c r="D369" s="7" t="n"/>
      <c r="G369" s="2" t="n"/>
      <c r="H369" s="12" t="n"/>
    </row>
    <row r="370">
      <c r="C370" s="7" t="n"/>
      <c r="D370" s="7" t="n"/>
      <c r="G370" s="2" t="n"/>
      <c r="H370" s="12" t="n"/>
    </row>
    <row r="371">
      <c r="C371" s="7" t="n"/>
      <c r="D371" s="7" t="n"/>
      <c r="G371" s="2" t="n"/>
      <c r="H371" s="12" t="n"/>
    </row>
    <row r="372">
      <c r="C372" s="7" t="n"/>
      <c r="D372" s="7" t="n"/>
      <c r="G372" s="2" t="n"/>
      <c r="H372" s="12" t="n"/>
    </row>
    <row r="373">
      <c r="C373" s="7" t="n"/>
      <c r="D373" s="7" t="n"/>
      <c r="G373" s="2" t="n"/>
      <c r="H373" s="12" t="n"/>
    </row>
    <row r="374">
      <c r="C374" s="7" t="n"/>
      <c r="D374" s="7" t="n"/>
      <c r="G374" s="2" t="n"/>
      <c r="H374" s="12" t="n"/>
    </row>
    <row r="375">
      <c r="C375" s="7" t="n"/>
      <c r="D375" s="7" t="n"/>
      <c r="G375" s="2" t="n"/>
      <c r="H375" s="12" t="n"/>
    </row>
    <row r="376">
      <c r="C376" s="7" t="n"/>
      <c r="D376" s="7" t="n"/>
      <c r="G376" s="2" t="n"/>
      <c r="H376" s="12" t="n"/>
    </row>
    <row r="377">
      <c r="C377" s="7" t="n"/>
      <c r="D377" s="7" t="n"/>
      <c r="G377" s="2" t="n"/>
      <c r="H377" s="12" t="n"/>
    </row>
    <row r="378">
      <c r="C378" s="7" t="n"/>
      <c r="D378" s="7" t="n"/>
      <c r="G378" s="2" t="n"/>
      <c r="H378" s="12" t="n"/>
    </row>
    <row r="379">
      <c r="C379" s="7" t="n"/>
      <c r="D379" s="7" t="n"/>
      <c r="G379" s="2" t="n"/>
      <c r="H379" s="12" t="n"/>
    </row>
    <row r="380">
      <c r="C380" s="7" t="n"/>
      <c r="D380" s="7" t="n"/>
      <c r="G380" s="2" t="n"/>
      <c r="H380" s="12" t="n"/>
    </row>
    <row r="381">
      <c r="C381" s="7" t="n"/>
      <c r="D381" s="7" t="n"/>
      <c r="G381" s="2" t="n"/>
      <c r="H381" s="12" t="n"/>
    </row>
    <row r="382">
      <c r="C382" s="7" t="n"/>
      <c r="D382" s="7" t="n"/>
      <c r="G382" s="2" t="n"/>
      <c r="H382" s="12" t="n"/>
    </row>
    <row r="383">
      <c r="C383" s="7" t="n"/>
      <c r="D383" s="7" t="n"/>
      <c r="G383" s="2" t="n"/>
      <c r="H383" s="12" t="n"/>
    </row>
    <row r="384">
      <c r="C384" s="7" t="n"/>
      <c r="D384" s="7" t="n"/>
      <c r="G384" s="2" t="n"/>
      <c r="H384" s="12" t="n"/>
    </row>
    <row r="385">
      <c r="C385" s="7" t="n"/>
      <c r="D385" s="7" t="n"/>
      <c r="G385" s="2" t="n"/>
      <c r="H385" s="12" t="n"/>
    </row>
    <row r="386">
      <c r="C386" s="7" t="n"/>
      <c r="D386" s="7" t="n"/>
      <c r="G386" s="2" t="n"/>
      <c r="H386" s="12" t="n"/>
    </row>
    <row r="387">
      <c r="C387" s="7" t="n"/>
      <c r="D387" s="7" t="n"/>
      <c r="G387" s="2" t="n"/>
      <c r="H387" s="12" t="n"/>
    </row>
    <row r="388">
      <c r="C388" s="7" t="n"/>
      <c r="D388" s="7" t="n"/>
      <c r="G388" s="2" t="n"/>
      <c r="H388" s="12" t="n"/>
    </row>
    <row r="389">
      <c r="C389" s="7" t="n"/>
      <c r="D389" s="7" t="n"/>
      <c r="G389" s="2" t="n"/>
      <c r="H389" s="12" t="n"/>
    </row>
    <row r="390">
      <c r="C390" s="7" t="n"/>
      <c r="D390" s="7" t="n"/>
      <c r="G390" s="2" t="n"/>
      <c r="H390" s="12" t="n"/>
    </row>
    <row r="391">
      <c r="C391" s="7" t="n"/>
      <c r="D391" s="7" t="n"/>
      <c r="G391" s="2" t="n"/>
      <c r="H391" s="12" t="n"/>
    </row>
    <row r="392">
      <c r="C392" s="7" t="n"/>
      <c r="D392" s="7" t="n"/>
      <c r="G392" s="2" t="n"/>
      <c r="H392" s="12" t="n"/>
    </row>
    <row r="393">
      <c r="C393" s="7" t="n"/>
      <c r="D393" s="7" t="n"/>
      <c r="G393" s="2" t="n"/>
      <c r="H393" s="12" t="n"/>
    </row>
    <row r="394">
      <c r="C394" s="7" t="n"/>
      <c r="D394" s="7" t="n"/>
      <c r="G394" s="2" t="n"/>
      <c r="H394" s="12" t="n"/>
    </row>
    <row r="395">
      <c r="C395" s="7" t="n"/>
      <c r="D395" s="7" t="n"/>
      <c r="G395" s="2" t="n"/>
      <c r="H395" s="12" t="n"/>
    </row>
    <row r="396">
      <c r="C396" s="7" t="n"/>
      <c r="D396" s="7" t="n"/>
      <c r="G396" s="2" t="n"/>
      <c r="H396" s="12" t="n"/>
    </row>
    <row r="397">
      <c r="C397" s="7" t="n"/>
      <c r="D397" s="7" t="n"/>
      <c r="G397" s="2" t="n"/>
      <c r="H397" s="12" t="n"/>
    </row>
    <row r="398">
      <c r="C398" s="7" t="n"/>
      <c r="D398" s="7" t="n"/>
      <c r="G398" s="2" t="n"/>
      <c r="H398" s="12" t="n"/>
    </row>
    <row r="399">
      <c r="C399" s="7" t="n"/>
      <c r="D399" s="7" t="n"/>
      <c r="G399" s="2" t="n"/>
      <c r="H399" s="12" t="n"/>
    </row>
    <row r="400">
      <c r="C400" s="7" t="n"/>
      <c r="D400" s="7" t="n"/>
      <c r="G400" s="2" t="n"/>
      <c r="H400" s="12" t="n"/>
    </row>
    <row r="401">
      <c r="C401" s="7" t="n"/>
      <c r="D401" s="7" t="n"/>
      <c r="G401" s="2" t="n"/>
      <c r="H401" s="12" t="n"/>
    </row>
    <row r="402">
      <c r="C402" s="7" t="n"/>
      <c r="D402" s="7" t="n"/>
      <c r="G402" s="2" t="n"/>
      <c r="H402" s="12" t="n"/>
    </row>
    <row r="403">
      <c r="C403" s="7" t="n"/>
      <c r="D403" s="7" t="n"/>
      <c r="G403" s="2" t="n"/>
      <c r="H403" s="12" t="n"/>
    </row>
    <row r="404">
      <c r="C404" s="7" t="n"/>
      <c r="D404" s="7" t="n"/>
      <c r="G404" s="2" t="n"/>
      <c r="H404" s="12" t="n"/>
    </row>
    <row r="405">
      <c r="C405" s="7" t="n"/>
      <c r="D405" s="7" t="n"/>
      <c r="G405" s="2" t="n"/>
      <c r="H405" s="12" t="n"/>
    </row>
    <row r="406">
      <c r="C406" s="7" t="n"/>
      <c r="D406" s="7" t="n"/>
      <c r="G406" s="2" t="n"/>
      <c r="H406" s="12" t="n"/>
    </row>
    <row r="407">
      <c r="C407" s="7" t="n"/>
      <c r="D407" s="7" t="n"/>
      <c r="G407" s="2" t="n"/>
      <c r="H407" s="12" t="n"/>
    </row>
    <row r="408">
      <c r="C408" s="7" t="n"/>
      <c r="D408" s="7" t="n"/>
      <c r="G408" s="2" t="n"/>
      <c r="H408" s="12" t="n"/>
    </row>
    <row r="409">
      <c r="C409" s="7" t="n"/>
      <c r="D409" s="7" t="n"/>
      <c r="G409" s="2" t="n"/>
      <c r="H409" s="12" t="n"/>
    </row>
    <row r="410">
      <c r="C410" s="7" t="n"/>
      <c r="D410" s="7" t="n"/>
      <c r="G410" s="2" t="n"/>
      <c r="H410" s="12" t="n"/>
    </row>
    <row r="411">
      <c r="C411" s="7" t="n"/>
      <c r="D411" s="7" t="n"/>
      <c r="G411" s="2" t="n"/>
      <c r="H411" s="12" t="n"/>
    </row>
    <row r="412">
      <c r="C412" s="7" t="n"/>
      <c r="D412" s="7" t="n"/>
      <c r="G412" s="2" t="n"/>
      <c r="H412" s="12" t="n"/>
    </row>
    <row r="413">
      <c r="C413" s="7" t="n"/>
      <c r="D413" s="7" t="n"/>
      <c r="G413" s="2" t="n"/>
      <c r="H413" s="12" t="n"/>
    </row>
    <row r="414">
      <c r="C414" s="7" t="n"/>
      <c r="D414" s="7" t="n"/>
      <c r="G414" s="2" t="n"/>
      <c r="H414" s="12" t="n"/>
    </row>
    <row r="415">
      <c r="C415" s="7" t="n"/>
      <c r="D415" s="7" t="n"/>
      <c r="G415" s="2" t="n"/>
      <c r="H415" s="12" t="n"/>
    </row>
    <row r="416">
      <c r="C416" s="7" t="n"/>
      <c r="D416" s="7" t="n"/>
      <c r="G416" s="2" t="n"/>
      <c r="H416" s="12" t="n"/>
    </row>
    <row r="417">
      <c r="C417" s="7" t="n"/>
      <c r="D417" s="7" t="n"/>
      <c r="G417" s="2" t="n"/>
      <c r="H417" s="12" t="n"/>
    </row>
    <row r="418">
      <c r="C418" s="7" t="n"/>
      <c r="D418" s="7" t="n"/>
      <c r="G418" s="2" t="n"/>
      <c r="H418" s="12" t="n"/>
    </row>
    <row r="419">
      <c r="C419" s="7" t="n"/>
      <c r="D419" s="7" t="n"/>
      <c r="G419" s="2" t="n"/>
      <c r="H419" s="12" t="n"/>
    </row>
    <row r="420">
      <c r="C420" s="7" t="n"/>
      <c r="D420" s="7" t="n"/>
      <c r="G420" s="2" t="n"/>
      <c r="H420" s="12" t="n"/>
    </row>
    <row r="421">
      <c r="C421" s="7" t="n"/>
      <c r="D421" s="7" t="n"/>
      <c r="G421" s="2" t="n"/>
      <c r="H421" s="12" t="n"/>
    </row>
    <row r="422">
      <c r="C422" s="7" t="n"/>
      <c r="D422" s="7" t="n"/>
      <c r="G422" s="2" t="n"/>
      <c r="H422" s="12" t="n"/>
    </row>
    <row r="423">
      <c r="C423" s="7" t="n"/>
      <c r="D423" s="7" t="n"/>
      <c r="G423" s="2" t="n"/>
      <c r="H423" s="12" t="n"/>
    </row>
    <row r="424">
      <c r="C424" s="7" t="n"/>
      <c r="D424" s="7" t="n"/>
      <c r="G424" s="2" t="n"/>
      <c r="H424" s="12" t="n"/>
    </row>
    <row r="425">
      <c r="C425" s="7" t="n"/>
      <c r="D425" s="7" t="n"/>
      <c r="G425" s="2" t="n"/>
      <c r="H425" s="12" t="n"/>
    </row>
    <row r="426">
      <c r="C426" s="7" t="n"/>
      <c r="D426" s="7" t="n"/>
      <c r="G426" s="2" t="n"/>
      <c r="H426" s="12" t="n"/>
    </row>
    <row r="427">
      <c r="C427" s="7" t="n"/>
      <c r="D427" s="7" t="n"/>
      <c r="G427" s="2" t="n"/>
      <c r="H427" s="12" t="n"/>
    </row>
    <row r="428">
      <c r="C428" s="7" t="n"/>
      <c r="D428" s="7" t="n"/>
      <c r="G428" s="2" t="n"/>
      <c r="H428" s="12" t="n"/>
    </row>
    <row r="429">
      <c r="C429" s="7" t="n"/>
      <c r="D429" s="7" t="n"/>
      <c r="G429" s="2" t="n"/>
      <c r="H429" s="12" t="n"/>
    </row>
    <row r="430">
      <c r="C430" s="7" t="n"/>
      <c r="D430" s="7" t="n"/>
      <c r="G430" s="2" t="n"/>
      <c r="H430" s="12" t="n"/>
    </row>
    <row r="431">
      <c r="C431" s="7" t="n"/>
      <c r="D431" s="7" t="n"/>
      <c r="G431" s="2" t="n"/>
      <c r="H431" s="12" t="n"/>
      <c r="O431" s="3" t="n"/>
    </row>
    <row r="432">
      <c r="C432" s="7" t="n"/>
      <c r="D432" s="7" t="n"/>
      <c r="G432" s="2" t="n"/>
      <c r="H432" s="12" t="n"/>
    </row>
    <row r="433">
      <c r="C433" s="7" t="n"/>
      <c r="D433" s="7" t="n"/>
      <c r="G433" s="2" t="n"/>
      <c r="H433" s="12" t="n"/>
    </row>
    <row r="434">
      <c r="C434" s="7" t="n"/>
      <c r="D434" s="7" t="n"/>
      <c r="G434" s="2" t="n"/>
      <c r="H434" s="12" t="n"/>
    </row>
    <row r="435">
      <c r="C435" s="7" t="n"/>
      <c r="D435" s="7" t="n"/>
      <c r="G435" s="2" t="n"/>
      <c r="H435" s="12" t="n"/>
    </row>
    <row r="436">
      <c r="C436" s="7" t="n"/>
      <c r="D436" s="7" t="n"/>
      <c r="G436" s="2" t="n"/>
      <c r="H436" s="12" t="n"/>
    </row>
    <row r="437">
      <c r="C437" s="7" t="n"/>
      <c r="D437" s="7" t="n"/>
      <c r="G437" s="2" t="n"/>
      <c r="H437" s="12" t="n"/>
    </row>
    <row r="438">
      <c r="C438" s="7" t="n"/>
      <c r="D438" s="7" t="n"/>
      <c r="G438" s="2" t="n"/>
      <c r="H438" s="12" t="n"/>
    </row>
    <row r="439">
      <c r="C439" s="7" t="n"/>
      <c r="D439" s="7" t="n"/>
      <c r="G439" s="2" t="n"/>
      <c r="H439" s="12" t="n"/>
    </row>
    <row r="440">
      <c r="C440" s="7" t="n"/>
      <c r="D440" s="7" t="n"/>
      <c r="G440" s="2" t="n"/>
      <c r="H440" s="12" t="n"/>
    </row>
    <row r="441">
      <c r="C441" s="7" t="n"/>
      <c r="D441" s="7" t="n"/>
      <c r="G441" s="2" t="n"/>
      <c r="H441" s="12" t="n"/>
    </row>
    <row r="442">
      <c r="C442" s="7" t="n"/>
      <c r="D442" s="7" t="n"/>
      <c r="G442" s="2" t="n"/>
      <c r="H442" s="12" t="n"/>
    </row>
    <row r="443">
      <c r="C443" s="7" t="n"/>
      <c r="D443" s="7" t="n"/>
      <c r="G443" s="2" t="n"/>
      <c r="H443" s="12" t="n"/>
    </row>
    <row r="444">
      <c r="C444" s="7" t="n"/>
      <c r="D444" s="7" t="n"/>
      <c r="G444" s="2" t="n"/>
      <c r="H444" s="12" t="n"/>
    </row>
    <row r="445">
      <c r="C445" s="7" t="n"/>
      <c r="D445" s="7" t="n"/>
      <c r="G445" s="2" t="n"/>
      <c r="H445" s="12" t="n"/>
    </row>
    <row r="446">
      <c r="C446" s="7" t="n"/>
      <c r="D446" s="7" t="n"/>
      <c r="G446" s="2" t="n"/>
      <c r="H446" s="12" t="n"/>
    </row>
    <row r="447">
      <c r="C447" s="7" t="n"/>
      <c r="D447" s="7" t="n"/>
      <c r="G447" s="2" t="n"/>
      <c r="H447" s="12" t="n"/>
    </row>
    <row r="448">
      <c r="C448" s="7" t="n"/>
      <c r="D448" s="7" t="n"/>
      <c r="G448" s="2" t="n"/>
      <c r="H448" s="12" t="n"/>
    </row>
    <row r="449">
      <c r="C449" s="7" t="n"/>
      <c r="D449" s="7" t="n"/>
      <c r="G449" s="2" t="n"/>
      <c r="H449" s="12" t="n"/>
    </row>
    <row r="450">
      <c r="C450" s="7" t="n"/>
      <c r="D450" s="7" t="n"/>
      <c r="G450" s="2" t="n"/>
      <c r="H450" s="12" t="n"/>
    </row>
    <row r="451">
      <c r="C451" s="7" t="n"/>
      <c r="D451" s="7" t="n"/>
      <c r="G451" s="2" t="n"/>
      <c r="H451" s="12" t="n"/>
    </row>
    <row r="452">
      <c r="C452" s="7" t="n"/>
      <c r="D452" s="7" t="n"/>
      <c r="G452" s="2" t="n"/>
      <c r="H452" s="12" t="n"/>
    </row>
    <row r="453">
      <c r="C453" s="7" t="n"/>
      <c r="D453" s="7" t="n"/>
      <c r="G453" s="2" t="n"/>
      <c r="H453" s="12" t="n"/>
    </row>
    <row r="454">
      <c r="C454" s="7" t="n"/>
      <c r="D454" s="7" t="n"/>
      <c r="G454" s="2" t="n"/>
      <c r="H454" s="12" t="n"/>
    </row>
    <row r="455">
      <c r="C455" s="7" t="n"/>
      <c r="D455" s="7" t="n"/>
      <c r="G455" s="2" t="n"/>
      <c r="H455" s="12" t="n"/>
    </row>
    <row r="456">
      <c r="C456" s="7" t="n"/>
      <c r="D456" s="7" t="n"/>
      <c r="G456" s="2" t="n"/>
      <c r="H456" s="12" t="n"/>
    </row>
    <row r="457">
      <c r="C457" s="7" t="n"/>
      <c r="D457" s="7" t="n"/>
      <c r="G457" s="2" t="n"/>
      <c r="H457" s="12" t="n"/>
    </row>
    <row r="458">
      <c r="C458" s="7" t="n"/>
      <c r="D458" s="7" t="n"/>
      <c r="G458" s="2" t="n"/>
      <c r="H458" s="12" t="n"/>
    </row>
    <row r="459">
      <c r="C459" s="7" t="n"/>
      <c r="D459" s="7" t="n"/>
      <c r="G459" s="2" t="n"/>
      <c r="H459" s="12" t="n"/>
    </row>
    <row r="460">
      <c r="C460" s="7" t="n"/>
      <c r="D460" s="7" t="n"/>
      <c r="G460" s="2" t="n"/>
      <c r="H460" s="12" t="n"/>
    </row>
    <row r="461">
      <c r="C461" s="7" t="n"/>
      <c r="D461" s="7" t="n"/>
      <c r="G461" s="2" t="n"/>
      <c r="H461" s="12" t="n"/>
    </row>
    <row r="462">
      <c r="C462" s="7" t="n"/>
      <c r="D462" s="7" t="n"/>
      <c r="G462" s="2" t="n"/>
      <c r="H462" s="12" t="n"/>
    </row>
    <row r="463">
      <c r="C463" s="7" t="n"/>
      <c r="D463" s="7" t="n"/>
      <c r="G463" s="2" t="n"/>
      <c r="H463" s="12" t="n"/>
    </row>
    <row r="464">
      <c r="C464" s="7" t="n"/>
      <c r="D464" s="7" t="n"/>
      <c r="G464" s="2" t="n"/>
      <c r="H464" s="12" t="n"/>
    </row>
    <row r="465">
      <c r="C465" s="7" t="n"/>
      <c r="D465" s="7" t="n"/>
      <c r="G465" s="2" t="n"/>
      <c r="H465" s="12" t="n"/>
    </row>
    <row r="466">
      <c r="C466" s="7" t="n"/>
      <c r="D466" s="7" t="n"/>
      <c r="G466" s="2" t="n"/>
      <c r="H466" s="12" t="n"/>
    </row>
    <row r="467">
      <c r="C467" s="7" t="n"/>
      <c r="D467" s="7" t="n"/>
      <c r="G467" s="2" t="n"/>
      <c r="H467" s="12" t="n"/>
    </row>
    <row r="468">
      <c r="C468" s="7" t="n"/>
      <c r="D468" s="7" t="n"/>
      <c r="G468" s="2" t="n"/>
      <c r="H468" s="12" t="n"/>
    </row>
    <row r="469">
      <c r="C469" s="7" t="n"/>
      <c r="D469" s="7" t="n"/>
      <c r="G469" s="2" t="n"/>
      <c r="H469" s="12" t="n"/>
    </row>
    <row r="470">
      <c r="C470" s="7" t="n"/>
      <c r="D470" s="7" t="n"/>
      <c r="G470" s="2" t="n"/>
      <c r="H470" s="12" t="n"/>
    </row>
    <row r="471">
      <c r="C471" s="7" t="n"/>
      <c r="D471" s="7" t="n"/>
      <c r="G471" s="2" t="n"/>
      <c r="H471" s="12" t="n"/>
    </row>
    <row r="472">
      <c r="C472" s="7" t="n"/>
      <c r="D472" s="7" t="n"/>
      <c r="G472" s="2" t="n"/>
      <c r="H472" s="12" t="n"/>
    </row>
    <row r="473">
      <c r="C473" s="7" t="n"/>
      <c r="D473" s="7" t="n"/>
      <c r="G473" s="2" t="n"/>
      <c r="H473" s="12" t="n"/>
    </row>
    <row r="474">
      <c r="C474" s="7" t="n"/>
      <c r="D474" s="7" t="n"/>
      <c r="G474" s="2" t="n"/>
      <c r="H474" s="12" t="n"/>
    </row>
    <row r="475">
      <c r="C475" s="7" t="n"/>
      <c r="D475" s="7" t="n"/>
      <c r="G475" s="2" t="n"/>
      <c r="H475" s="12" t="n"/>
    </row>
    <row r="476">
      <c r="C476" s="7" t="n"/>
      <c r="D476" s="7" t="n"/>
      <c r="G476" s="2" t="n"/>
      <c r="H476" s="12" t="n"/>
    </row>
    <row r="477">
      <c r="C477" s="7" t="n"/>
      <c r="D477" s="7" t="n"/>
      <c r="G477" s="2" t="n"/>
      <c r="H477" s="12" t="n"/>
    </row>
    <row r="478">
      <c r="C478" s="7" t="n"/>
      <c r="D478" s="7" t="n"/>
      <c r="G478" s="2" t="n"/>
      <c r="H478" s="12" t="n"/>
    </row>
    <row r="479">
      <c r="C479" s="7" t="n"/>
      <c r="D479" s="7" t="n"/>
      <c r="G479" s="2" t="n"/>
      <c r="H479" s="12" t="n"/>
    </row>
    <row r="480">
      <c r="C480" s="7" t="n"/>
      <c r="D480" s="7" t="n"/>
      <c r="G480" s="2" t="n"/>
      <c r="H480" s="12" t="n"/>
    </row>
    <row r="481">
      <c r="C481" s="7" t="n"/>
      <c r="D481" s="7" t="n"/>
      <c r="G481" s="2" t="n"/>
      <c r="H481" s="12" t="n"/>
    </row>
    <row r="482">
      <c r="C482" s="7" t="n"/>
      <c r="D482" s="7" t="n"/>
      <c r="G482" s="2" t="n"/>
      <c r="H482" s="12" t="n"/>
    </row>
    <row r="483">
      <c r="C483" s="7" t="n"/>
      <c r="D483" s="7" t="n"/>
      <c r="G483" s="2" t="n"/>
      <c r="H483" s="12" t="n"/>
    </row>
    <row r="484">
      <c r="C484" s="7" t="n"/>
      <c r="D484" s="7" t="n"/>
      <c r="G484" s="2" t="n"/>
      <c r="H484" s="12" t="n"/>
    </row>
    <row r="485">
      <c r="C485" s="7" t="n"/>
      <c r="D485" s="7" t="n"/>
      <c r="G485" s="2" t="n"/>
      <c r="H485" s="12" t="n"/>
    </row>
    <row r="486">
      <c r="C486" s="7" t="n"/>
      <c r="D486" s="7" t="n"/>
      <c r="G486" s="2" t="n"/>
      <c r="H486" s="12" t="n"/>
    </row>
    <row r="487">
      <c r="C487" s="7" t="n"/>
      <c r="D487" s="7" t="n"/>
      <c r="G487" s="2" t="n"/>
      <c r="H487" s="12" t="n"/>
    </row>
    <row r="488">
      <c r="C488" s="7" t="n"/>
      <c r="D488" s="7" t="n"/>
      <c r="G488" s="2" t="n"/>
      <c r="H488" s="12" t="n"/>
    </row>
    <row r="489">
      <c r="C489" s="7" t="n"/>
      <c r="D489" s="7" t="n"/>
      <c r="G489" s="2" t="n"/>
      <c r="H489" s="12" t="n"/>
    </row>
    <row r="490">
      <c r="C490" s="7" t="n"/>
      <c r="D490" s="7" t="n"/>
      <c r="G490" s="2" t="n"/>
      <c r="H490" s="12" t="n"/>
    </row>
    <row r="491">
      <c r="C491" s="7" t="n"/>
      <c r="D491" s="7" t="n"/>
      <c r="G491" s="2" t="n"/>
      <c r="H491" s="12" t="n"/>
    </row>
    <row r="492">
      <c r="C492" s="7" t="n"/>
      <c r="D492" s="7" t="n"/>
      <c r="G492" s="2" t="n"/>
      <c r="H492" s="12" t="n"/>
    </row>
    <row r="493">
      <c r="C493" s="7" t="n"/>
      <c r="D493" s="7" t="n"/>
      <c r="G493" s="2" t="n"/>
      <c r="H493" s="12" t="n"/>
    </row>
    <row r="494">
      <c r="C494" s="7" t="n"/>
      <c r="D494" s="7" t="n"/>
      <c r="G494" s="2" t="n"/>
      <c r="H494" s="12" t="n"/>
    </row>
    <row r="495">
      <c r="C495" s="7" t="n"/>
      <c r="D495" s="7" t="n"/>
      <c r="G495" s="2" t="n"/>
      <c r="H495" s="12" t="n"/>
    </row>
    <row r="496">
      <c r="C496" s="7" t="n"/>
      <c r="D496" s="7" t="n"/>
      <c r="G496" s="2" t="n"/>
      <c r="H496" s="12" t="n"/>
    </row>
    <row r="497">
      <c r="C497" s="7" t="n"/>
      <c r="D497" s="7" t="n"/>
      <c r="G497" s="2" t="n"/>
      <c r="H497" s="12" t="n"/>
    </row>
    <row r="498">
      <c r="C498" s="7" t="n"/>
      <c r="D498" s="7" t="n"/>
      <c r="G498" s="2" t="n"/>
      <c r="H498" s="12" t="n"/>
    </row>
    <row r="499">
      <c r="C499" s="7" t="n"/>
      <c r="D499" s="7" t="n"/>
      <c r="G499" s="2" t="n"/>
      <c r="H499" s="12" t="n"/>
    </row>
    <row r="500">
      <c r="C500" s="7" t="n"/>
      <c r="D500" s="7" t="n"/>
      <c r="G500" s="2" t="n"/>
      <c r="H500" s="12" t="n"/>
    </row>
    <row r="501">
      <c r="C501" s="7" t="n"/>
      <c r="D501" s="7" t="n"/>
      <c r="G501" s="2" t="n"/>
      <c r="H501" s="12" t="n"/>
    </row>
    <row r="502">
      <c r="C502" s="7" t="n"/>
      <c r="D502" s="7" t="n"/>
      <c r="G502" s="2" t="n"/>
      <c r="H502" s="12" t="n"/>
    </row>
    <row r="503">
      <c r="C503" s="7" t="n"/>
      <c r="D503" s="7" t="n"/>
      <c r="G503" s="2" t="n"/>
      <c r="H503" s="12" t="n"/>
    </row>
    <row r="504">
      <c r="C504" s="7" t="n"/>
      <c r="D504" s="7" t="n"/>
      <c r="G504" s="2" t="n"/>
      <c r="H504" s="12" t="n"/>
    </row>
    <row r="505">
      <c r="C505" s="7" t="n"/>
      <c r="D505" s="7" t="n"/>
      <c r="G505" s="2" t="n"/>
      <c r="H505" s="12" t="n"/>
    </row>
    <row r="506">
      <c r="C506" s="7" t="n"/>
      <c r="D506" s="7" t="n"/>
      <c r="G506" s="2" t="n"/>
      <c r="H506" s="12" t="n"/>
    </row>
    <row r="507">
      <c r="C507" s="7" t="n"/>
      <c r="D507" s="7" t="n"/>
      <c r="G507" s="2" t="n"/>
      <c r="H507" s="12" t="n"/>
    </row>
    <row r="508">
      <c r="C508" s="7" t="n"/>
      <c r="D508" s="7" t="n"/>
      <c r="G508" s="2" t="n"/>
      <c r="H508" s="12" t="n"/>
    </row>
    <row r="509">
      <c r="C509" s="7" t="n"/>
      <c r="D509" s="7" t="n"/>
      <c r="G509" s="2" t="n"/>
      <c r="H509" s="12" t="n"/>
    </row>
    <row r="510">
      <c r="C510" s="7" t="n"/>
      <c r="D510" s="7" t="n"/>
      <c r="G510" s="2" t="n"/>
      <c r="H510" s="12" t="n"/>
    </row>
    <row r="511">
      <c r="C511" s="7" t="n"/>
      <c r="D511" s="7" t="n"/>
      <c r="G511" s="2" t="n"/>
      <c r="H511" s="12" t="n"/>
    </row>
    <row r="512">
      <c r="C512" s="7" t="n"/>
      <c r="D512" s="7" t="n"/>
      <c r="G512" s="2" t="n"/>
      <c r="H512" s="12" t="n"/>
    </row>
    <row r="513">
      <c r="C513" s="7" t="n"/>
      <c r="D513" s="7" t="n"/>
      <c r="G513" s="2" t="n"/>
      <c r="H513" s="12" t="n"/>
    </row>
    <row r="514">
      <c r="C514" s="7" t="n"/>
      <c r="D514" s="7" t="n"/>
      <c r="G514" s="2" t="n"/>
      <c r="H514" s="12" t="n"/>
    </row>
    <row r="515">
      <c r="C515" s="7" t="n"/>
      <c r="D515" s="7" t="n"/>
      <c r="G515" s="2" t="n"/>
      <c r="H515" s="12" t="n"/>
    </row>
    <row r="516">
      <c r="C516" s="7" t="n"/>
      <c r="D516" s="7" t="n"/>
      <c r="G516" s="2" t="n"/>
      <c r="H516" s="12" t="n"/>
    </row>
    <row r="517">
      <c r="C517" s="7" t="n"/>
      <c r="D517" s="7" t="n"/>
      <c r="G517" s="2" t="n"/>
      <c r="H517" s="12" t="n"/>
    </row>
    <row r="518">
      <c r="C518" s="7" t="n"/>
      <c r="D518" s="7" t="n"/>
      <c r="G518" s="2" t="n"/>
      <c r="H518" s="12" t="n"/>
    </row>
    <row r="519">
      <c r="C519" s="7" t="n"/>
      <c r="D519" s="7" t="n"/>
      <c r="G519" s="2" t="n"/>
      <c r="H519" s="12" t="n"/>
    </row>
    <row r="520">
      <c r="C520" s="7" t="n"/>
      <c r="D520" s="7" t="n"/>
      <c r="G520" s="2" t="n"/>
      <c r="H520" s="12" t="n"/>
    </row>
    <row r="521">
      <c r="C521" s="7" t="n"/>
      <c r="D521" s="7" t="n"/>
      <c r="G521" s="2" t="n"/>
      <c r="H521" s="12" t="n"/>
    </row>
    <row r="522">
      <c r="C522" s="7" t="n"/>
      <c r="D522" s="7" t="n"/>
      <c r="G522" s="2" t="n"/>
      <c r="H522" s="12" t="n"/>
    </row>
    <row r="523">
      <c r="C523" s="7" t="n"/>
      <c r="D523" s="7" t="n"/>
      <c r="G523" s="2" t="n"/>
      <c r="H523" s="12" t="n"/>
    </row>
    <row r="524">
      <c r="C524" s="7" t="n"/>
      <c r="D524" s="7" t="n"/>
      <c r="G524" s="2" t="n"/>
      <c r="H524" s="12" t="n"/>
    </row>
    <row r="525">
      <c r="C525" s="7" t="n"/>
      <c r="D525" s="7" t="n"/>
      <c r="G525" s="2" t="n"/>
      <c r="H525" s="12" t="n"/>
    </row>
    <row r="526">
      <c r="C526" s="7" t="n"/>
      <c r="D526" s="7" t="n"/>
      <c r="G526" s="2" t="n"/>
      <c r="H526" s="12" t="n"/>
    </row>
    <row r="527">
      <c r="C527" s="7" t="n"/>
      <c r="D527" s="7" t="n"/>
      <c r="G527" s="2" t="n"/>
      <c r="H527" s="12" t="n"/>
    </row>
    <row r="528">
      <c r="C528" s="7" t="n"/>
      <c r="D528" s="7" t="n"/>
      <c r="G528" s="2" t="n"/>
      <c r="H528" s="12" t="n"/>
    </row>
    <row r="529">
      <c r="C529" s="7" t="n"/>
      <c r="D529" s="7" t="n"/>
      <c r="G529" s="2" t="n"/>
      <c r="H529" s="12" t="n"/>
    </row>
    <row r="530">
      <c r="C530" s="7" t="n"/>
      <c r="D530" s="7" t="n"/>
      <c r="G530" s="2" t="n"/>
      <c r="H530" s="12" t="n"/>
    </row>
    <row r="531">
      <c r="C531" s="7" t="n"/>
      <c r="D531" s="7" t="n"/>
      <c r="G531" s="2" t="n"/>
      <c r="H531" s="12" t="n"/>
    </row>
    <row r="532">
      <c r="C532" s="7" t="n"/>
      <c r="D532" s="7" t="n"/>
      <c r="G532" s="2" t="n"/>
      <c r="H532" s="12" t="n"/>
    </row>
    <row r="533">
      <c r="C533" s="7" t="n"/>
      <c r="D533" s="7" t="n"/>
      <c r="G533" s="2" t="n"/>
      <c r="H533" s="12" t="n"/>
    </row>
    <row r="534">
      <c r="C534" s="7" t="n"/>
      <c r="D534" s="7" t="n"/>
      <c r="G534" s="2" t="n"/>
      <c r="H534" s="12" t="n"/>
    </row>
    <row r="535">
      <c r="C535" s="7" t="n"/>
      <c r="D535" s="7" t="n"/>
      <c r="G535" s="2" t="n"/>
      <c r="H535" s="12" t="n"/>
    </row>
    <row r="536">
      <c r="C536" s="7" t="n"/>
      <c r="D536" s="7" t="n"/>
      <c r="G536" s="2" t="n"/>
      <c r="H536" s="12" t="n"/>
    </row>
    <row r="537">
      <c r="C537" s="7" t="n"/>
      <c r="D537" s="7" t="n"/>
      <c r="G537" s="2" t="n"/>
      <c r="H537" s="12" t="n"/>
    </row>
    <row r="538">
      <c r="C538" s="7" t="n"/>
      <c r="D538" s="7" t="n"/>
      <c r="G538" s="2" t="n"/>
      <c r="H538" s="12" t="n"/>
    </row>
    <row r="539">
      <c r="C539" s="7" t="n"/>
      <c r="D539" s="7" t="n"/>
      <c r="G539" s="2" t="n"/>
      <c r="H539" s="12" t="n"/>
    </row>
    <row r="540">
      <c r="C540" s="7" t="n"/>
      <c r="D540" s="7" t="n"/>
      <c r="G540" s="2" t="n"/>
      <c r="H540" s="12" t="n"/>
    </row>
    <row r="541">
      <c r="C541" s="7" t="n"/>
      <c r="D541" s="7" t="n"/>
      <c r="G541" s="2" t="n"/>
      <c r="H541" s="12" t="n"/>
    </row>
    <row r="542">
      <c r="C542" s="7" t="n"/>
      <c r="D542" s="7" t="n"/>
      <c r="G542" s="2" t="n"/>
      <c r="H542" s="12" t="n"/>
    </row>
    <row r="543">
      <c r="C543" s="7" t="n"/>
      <c r="D543" s="7" t="n"/>
      <c r="G543" s="2" t="n"/>
      <c r="H543" s="12" t="n"/>
    </row>
    <row r="544">
      <c r="C544" s="7" t="n"/>
      <c r="D544" s="7" t="n"/>
      <c r="G544" s="2" t="n"/>
      <c r="H544" s="12" t="n"/>
    </row>
    <row r="545">
      <c r="C545" s="7" t="n"/>
      <c r="D545" s="7" t="n"/>
      <c r="G545" s="2" t="n"/>
      <c r="H545" s="12" t="n"/>
    </row>
    <row r="546">
      <c r="C546" s="7" t="n"/>
      <c r="D546" s="7" t="n"/>
      <c r="G546" s="2" t="n"/>
      <c r="H546" s="12" t="n"/>
    </row>
    <row r="547">
      <c r="C547" s="7" t="n"/>
      <c r="D547" s="7" t="n"/>
      <c r="G547" s="2" t="n"/>
      <c r="H547" s="12" t="n"/>
    </row>
    <row r="548">
      <c r="C548" s="7" t="n"/>
      <c r="D548" s="7" t="n"/>
      <c r="G548" s="2" t="n"/>
      <c r="H548" s="12" t="n"/>
    </row>
    <row r="549">
      <c r="C549" s="7" t="n"/>
      <c r="D549" s="7" t="n"/>
      <c r="G549" s="2" t="n"/>
      <c r="H549" s="12" t="n"/>
    </row>
    <row r="550">
      <c r="C550" s="7" t="n"/>
      <c r="D550" s="7" t="n"/>
      <c r="G550" s="2" t="n"/>
      <c r="H550" s="12" t="n"/>
    </row>
    <row r="551">
      <c r="C551" s="7" t="n"/>
      <c r="D551" s="7" t="n"/>
      <c r="G551" s="2" t="n"/>
      <c r="H551" s="12" t="n"/>
    </row>
    <row r="552">
      <c r="C552" s="7" t="n"/>
      <c r="D552" s="7" t="n"/>
      <c r="G552" s="2" t="n"/>
      <c r="H552" s="12" t="n"/>
    </row>
    <row r="553">
      <c r="C553" s="7" t="n"/>
      <c r="D553" s="7" t="n"/>
      <c r="G553" s="2" t="n"/>
      <c r="H553" s="12" t="n"/>
    </row>
    <row r="554">
      <c r="C554" s="7" t="n"/>
      <c r="D554" s="7" t="n"/>
      <c r="G554" s="2" t="n"/>
      <c r="H554" s="12" t="n"/>
    </row>
    <row r="555">
      <c r="C555" s="7" t="n"/>
      <c r="D555" s="7" t="n"/>
      <c r="G555" s="2" t="n"/>
      <c r="H555" s="12" t="n"/>
    </row>
    <row r="556">
      <c r="C556" s="7" t="n"/>
      <c r="D556" s="7" t="n"/>
      <c r="G556" s="2" t="n"/>
      <c r="H556" s="12" t="n"/>
    </row>
    <row r="557">
      <c r="C557" s="7" t="n"/>
      <c r="D557" s="7" t="n"/>
      <c r="G557" s="2" t="n"/>
      <c r="H557" s="12" t="n"/>
    </row>
    <row r="558">
      <c r="C558" s="7" t="n"/>
      <c r="D558" s="7" t="n"/>
      <c r="G558" s="2" t="n"/>
      <c r="H558" s="12" t="n"/>
    </row>
    <row r="559">
      <c r="C559" s="7" t="n"/>
      <c r="D559" s="7" t="n"/>
      <c r="G559" s="2" t="n"/>
      <c r="H559" s="12" t="n"/>
    </row>
    <row r="560">
      <c r="C560" s="7" t="n"/>
      <c r="D560" s="7" t="n"/>
      <c r="G560" s="2" t="n"/>
      <c r="H560" s="12" t="n"/>
    </row>
    <row r="561">
      <c r="C561" s="7" t="n"/>
      <c r="D561" s="7" t="n"/>
      <c r="G561" s="2" t="n"/>
      <c r="H561" s="12" t="n"/>
    </row>
    <row r="562">
      <c r="C562" s="7" t="n"/>
      <c r="D562" s="7" t="n"/>
      <c r="G562" s="2" t="n"/>
      <c r="H562" s="12" t="n"/>
    </row>
    <row r="563">
      <c r="C563" s="7" t="n"/>
      <c r="D563" s="7" t="n"/>
      <c r="G563" s="2" t="n"/>
      <c r="H563" s="12" t="n"/>
    </row>
    <row r="564">
      <c r="C564" s="7" t="n"/>
      <c r="D564" s="7" t="n"/>
      <c r="G564" s="2" t="n"/>
      <c r="H564" s="12" t="n"/>
    </row>
    <row r="565">
      <c r="C565" s="7" t="n"/>
      <c r="D565" s="7" t="n"/>
      <c r="G565" s="2" t="n"/>
      <c r="H565" s="12" t="n"/>
    </row>
    <row r="566">
      <c r="C566" s="7" t="n"/>
      <c r="D566" s="7" t="n"/>
      <c r="G566" s="2" t="n"/>
      <c r="H566" s="12" t="n"/>
    </row>
    <row r="567">
      <c r="C567" s="7" t="n"/>
      <c r="D567" s="7" t="n"/>
      <c r="G567" s="2" t="n"/>
      <c r="H567" s="12" t="n"/>
    </row>
    <row r="568">
      <c r="C568" s="7" t="n"/>
      <c r="D568" s="7" t="n"/>
      <c r="G568" s="2" t="n"/>
      <c r="H568" s="12" t="n"/>
    </row>
    <row r="569">
      <c r="C569" s="7" t="n"/>
      <c r="D569" s="7" t="n"/>
      <c r="G569" s="2" t="n"/>
      <c r="H569" s="12" t="n"/>
    </row>
    <row r="570">
      <c r="C570" s="7" t="n"/>
      <c r="D570" s="7" t="n"/>
      <c r="G570" s="2" t="n"/>
      <c r="H570" s="12" t="n"/>
    </row>
    <row r="571">
      <c r="C571" s="7" t="n"/>
      <c r="D571" s="7" t="n"/>
      <c r="G571" s="2" t="n"/>
      <c r="H571" s="12" t="n"/>
    </row>
    <row r="572">
      <c r="C572" s="7" t="n"/>
      <c r="D572" s="7" t="n"/>
      <c r="G572" s="2" t="n"/>
      <c r="H572" s="12" t="n"/>
    </row>
    <row r="573">
      <c r="C573" s="7" t="n"/>
      <c r="D573" s="7" t="n"/>
      <c r="G573" s="2" t="n"/>
      <c r="H573" s="12" t="n"/>
    </row>
    <row r="574">
      <c r="C574" s="7" t="n"/>
      <c r="D574" s="7" t="n"/>
      <c r="G574" s="2" t="n"/>
      <c r="H574" s="12" t="n"/>
    </row>
    <row r="575">
      <c r="C575" s="7" t="n"/>
      <c r="D575" s="7" t="n"/>
      <c r="G575" s="2" t="n"/>
      <c r="H575" s="12" t="n"/>
    </row>
    <row r="576">
      <c r="C576" s="7" t="n"/>
      <c r="D576" s="7" t="n"/>
      <c r="G576" s="2" t="n"/>
      <c r="H576" s="12" t="n"/>
    </row>
    <row r="577">
      <c r="C577" s="7" t="n"/>
      <c r="D577" s="7" t="n"/>
      <c r="G577" s="2" t="n"/>
      <c r="H577" s="12" t="n"/>
    </row>
    <row r="578">
      <c r="C578" s="7" t="n"/>
      <c r="D578" s="7" t="n"/>
      <c r="G578" s="2" t="n"/>
      <c r="H578" s="12" t="n"/>
    </row>
    <row r="579">
      <c r="C579" s="7" t="n"/>
      <c r="D579" s="7" t="n"/>
      <c r="G579" s="2" t="n"/>
      <c r="H579" s="12" t="n"/>
    </row>
    <row r="580">
      <c r="C580" s="7" t="n"/>
      <c r="D580" s="7" t="n"/>
      <c r="G580" s="2" t="n"/>
      <c r="H580" s="12" t="n"/>
    </row>
    <row r="581">
      <c r="C581" s="7" t="n"/>
      <c r="D581" s="7" t="n"/>
      <c r="G581" s="2" t="n"/>
      <c r="H581" s="12" t="n"/>
    </row>
    <row r="582">
      <c r="C582" s="7" t="n"/>
      <c r="D582" s="7" t="n"/>
      <c r="G582" s="2" t="n"/>
      <c r="H582" s="12" t="n"/>
    </row>
    <row r="583">
      <c r="C583" s="7" t="n"/>
      <c r="D583" s="7" t="n"/>
      <c r="G583" s="2" t="n"/>
      <c r="H583" s="12" t="n"/>
    </row>
    <row r="584">
      <c r="C584" s="7" t="n"/>
      <c r="D584" s="7" t="n"/>
      <c r="G584" s="2" t="n"/>
      <c r="H584" s="12" t="n"/>
    </row>
    <row r="585">
      <c r="C585" s="7" t="n"/>
      <c r="D585" s="7" t="n"/>
      <c r="G585" s="2" t="n"/>
      <c r="H585" s="12" t="n"/>
    </row>
    <row r="586">
      <c r="C586" s="7" t="n"/>
      <c r="D586" s="7" t="n"/>
      <c r="G586" s="2" t="n"/>
      <c r="H586" s="12" t="n"/>
    </row>
    <row r="587">
      <c r="C587" s="7" t="n"/>
      <c r="D587" s="7" t="n"/>
      <c r="G587" s="2" t="n"/>
      <c r="H587" s="12" t="n"/>
    </row>
    <row r="588">
      <c r="C588" s="7" t="n"/>
      <c r="D588" s="7" t="n"/>
      <c r="G588" s="2" t="n"/>
      <c r="H588" s="12" t="n"/>
    </row>
    <row r="589">
      <c r="C589" s="7" t="n"/>
      <c r="D589" s="7" t="n"/>
      <c r="G589" s="2" t="n"/>
      <c r="H589" s="12" t="n"/>
    </row>
    <row r="590">
      <c r="C590" s="7" t="n"/>
      <c r="D590" s="7" t="n"/>
      <c r="G590" s="2" t="n"/>
      <c r="H590" s="12" t="n"/>
    </row>
    <row r="591">
      <c r="C591" s="7" t="n"/>
      <c r="D591" s="7" t="n"/>
      <c r="G591" s="2" t="n"/>
      <c r="H591" s="12" t="n"/>
    </row>
    <row r="592">
      <c r="C592" s="7" t="n"/>
      <c r="D592" s="7" t="n"/>
      <c r="G592" s="2" t="n"/>
      <c r="H592" s="12" t="n"/>
    </row>
    <row r="593">
      <c r="C593" s="7" t="n"/>
      <c r="D593" s="7" t="n"/>
      <c r="G593" s="2" t="n"/>
      <c r="H593" s="12" t="n"/>
    </row>
    <row r="594">
      <c r="C594" s="7" t="n"/>
      <c r="D594" s="7" t="n"/>
      <c r="G594" s="2" t="n"/>
      <c r="H594" s="12" t="n"/>
    </row>
    <row r="595">
      <c r="C595" s="7" t="n"/>
      <c r="D595" s="7" t="n"/>
      <c r="G595" s="2" t="n"/>
      <c r="H595" s="12" t="n"/>
    </row>
    <row r="596">
      <c r="C596" s="7" t="n"/>
      <c r="D596" s="7" t="n"/>
      <c r="G596" s="2" t="n"/>
      <c r="H596" s="12" t="n"/>
    </row>
    <row r="597">
      <c r="C597" s="7" t="n"/>
      <c r="D597" s="7" t="n"/>
      <c r="G597" s="2" t="n"/>
      <c r="H597" s="12" t="n"/>
    </row>
    <row r="598">
      <c r="C598" s="7" t="n"/>
      <c r="D598" s="7" t="n"/>
      <c r="G598" s="2" t="n"/>
      <c r="H598" s="12" t="n"/>
    </row>
    <row r="599">
      <c r="C599" s="7" t="n"/>
      <c r="D599" s="7" t="n"/>
      <c r="G599" s="2" t="n"/>
      <c r="H599" s="12" t="n"/>
    </row>
    <row r="600">
      <c r="C600" s="7" t="n"/>
      <c r="D600" s="7" t="n"/>
      <c r="G600" s="2" t="n"/>
      <c r="H600" s="12" t="n"/>
    </row>
    <row r="601">
      <c r="C601" s="7" t="n"/>
      <c r="D601" s="7" t="n"/>
      <c r="G601" s="2" t="n"/>
      <c r="H601" s="12" t="n"/>
    </row>
    <row r="602">
      <c r="C602" s="7" t="n"/>
      <c r="D602" s="7" t="n"/>
      <c r="G602" s="2" t="n"/>
      <c r="H602" s="12" t="n"/>
    </row>
    <row r="603">
      <c r="C603" s="7" t="n"/>
      <c r="D603" s="7" t="n"/>
      <c r="G603" s="2" t="n"/>
      <c r="H603" s="12" t="n"/>
    </row>
    <row r="604">
      <c r="C604" s="7" t="n"/>
      <c r="D604" s="7" t="n"/>
      <c r="G604" s="2" t="n"/>
      <c r="H604" s="12" t="n"/>
    </row>
    <row r="605">
      <c r="C605" s="7" t="n"/>
      <c r="D605" s="7" t="n"/>
      <c r="G605" s="2" t="n"/>
      <c r="H605" s="12" t="n"/>
    </row>
    <row r="606">
      <c r="C606" s="7" t="n"/>
      <c r="D606" s="7" t="n"/>
      <c r="G606" s="2" t="n"/>
      <c r="H606" s="12" t="n"/>
    </row>
    <row r="607">
      <c r="C607" s="7" t="n"/>
      <c r="D607" s="7" t="n"/>
      <c r="G607" s="2" t="n"/>
      <c r="H607" s="12" t="n"/>
    </row>
    <row r="608">
      <c r="C608" s="7" t="n"/>
      <c r="D608" s="7" t="n"/>
      <c r="G608" s="2" t="n"/>
      <c r="H608" s="12" t="n"/>
    </row>
    <row r="609">
      <c r="C609" s="7" t="n"/>
      <c r="D609" s="7" t="n"/>
      <c r="G609" s="2" t="n"/>
      <c r="H609" s="12" t="n"/>
    </row>
    <row r="610">
      <c r="C610" s="7" t="n"/>
      <c r="D610" s="7" t="n"/>
      <c r="G610" s="2" t="n"/>
      <c r="H610" s="12" t="n"/>
    </row>
    <row r="611">
      <c r="C611" s="7" t="n"/>
      <c r="D611" s="7" t="n"/>
      <c r="G611" s="2" t="n"/>
      <c r="H611" s="12" t="n"/>
    </row>
    <row r="612">
      <c r="C612" s="7" t="n"/>
      <c r="D612" s="7" t="n"/>
      <c r="G612" s="2" t="n"/>
      <c r="H612" s="12" t="n"/>
    </row>
    <row r="613">
      <c r="C613" s="7" t="n"/>
      <c r="D613" s="7" t="n"/>
      <c r="G613" s="2" t="n"/>
      <c r="H613" s="12" t="n"/>
    </row>
    <row r="614">
      <c r="C614" s="7" t="n"/>
      <c r="D614" s="7" t="n"/>
      <c r="G614" s="2" t="n"/>
      <c r="H614" s="12" t="n"/>
    </row>
    <row r="615">
      <c r="C615" s="7" t="n"/>
      <c r="D615" s="7" t="n"/>
      <c r="G615" s="2" t="n"/>
      <c r="H615" s="12" t="n"/>
    </row>
    <row r="616">
      <c r="C616" s="7" t="n"/>
      <c r="D616" s="7" t="n"/>
      <c r="G616" s="2" t="n"/>
      <c r="H616" s="12" t="n"/>
    </row>
    <row r="617">
      <c r="C617" s="7" t="n"/>
      <c r="D617" s="7" t="n"/>
      <c r="G617" s="2" t="n"/>
      <c r="H617" s="12" t="n"/>
    </row>
    <row r="618">
      <c r="C618" s="7" t="n"/>
      <c r="D618" s="7" t="n"/>
      <c r="G618" s="2" t="n"/>
      <c r="H618" s="12" t="n"/>
    </row>
    <row r="619">
      <c r="C619" s="7" t="n"/>
      <c r="D619" s="7" t="n"/>
      <c r="G619" s="2" t="n"/>
      <c r="H619" s="12" t="n"/>
    </row>
    <row r="620">
      <c r="C620" s="7" t="n"/>
      <c r="D620" s="7" t="n"/>
      <c r="G620" s="2" t="n"/>
      <c r="H620" s="12" t="n"/>
    </row>
    <row r="621">
      <c r="C621" s="7" t="n"/>
      <c r="D621" s="7" t="n"/>
      <c r="G621" s="2" t="n"/>
      <c r="H621" s="12" t="n"/>
    </row>
    <row r="622">
      <c r="C622" s="7" t="n"/>
      <c r="D622" s="7" t="n"/>
      <c r="G622" s="2" t="n"/>
      <c r="H622" s="12" t="n"/>
    </row>
    <row r="623">
      <c r="C623" s="7" t="n"/>
      <c r="D623" s="7" t="n"/>
      <c r="G623" s="2" t="n"/>
      <c r="H623" s="12" t="n"/>
    </row>
    <row r="624">
      <c r="C624" s="7" t="n"/>
      <c r="D624" s="7" t="n"/>
      <c r="G624" s="2" t="n"/>
      <c r="H624" s="12" t="n"/>
    </row>
    <row r="625">
      <c r="C625" s="7" t="n"/>
      <c r="D625" s="7" t="n"/>
      <c r="G625" s="2" t="n"/>
      <c r="H625" s="12" t="n"/>
    </row>
    <row r="626">
      <c r="C626" s="7" t="n"/>
      <c r="D626" s="7" t="n"/>
      <c r="G626" s="2" t="n"/>
      <c r="H626" s="12" t="n"/>
    </row>
    <row r="627">
      <c r="C627" s="7" t="n"/>
      <c r="D627" s="7" t="n"/>
      <c r="G627" s="2" t="n"/>
      <c r="H627" s="12" t="n"/>
    </row>
    <row r="628">
      <c r="C628" s="7" t="n"/>
      <c r="D628" s="7" t="n"/>
      <c r="G628" s="2" t="n"/>
      <c r="H628" s="12" t="n"/>
    </row>
    <row r="629">
      <c r="C629" s="7" t="n"/>
      <c r="D629" s="7" t="n"/>
      <c r="G629" s="2" t="n"/>
      <c r="H629" s="12" t="n"/>
    </row>
    <row r="630">
      <c r="C630" s="7" t="n"/>
      <c r="D630" s="7" t="n"/>
      <c r="G630" s="2" t="n"/>
      <c r="H630" s="12" t="n"/>
    </row>
    <row r="631">
      <c r="C631" s="7" t="n"/>
      <c r="D631" s="7" t="n"/>
      <c r="G631" s="2" t="n"/>
      <c r="H631" s="12" t="n"/>
    </row>
    <row r="632">
      <c r="C632" s="7" t="n"/>
      <c r="D632" s="7" t="n"/>
      <c r="G632" s="2" t="n"/>
      <c r="H632" s="12" t="n"/>
    </row>
    <row r="633">
      <c r="C633" s="7" t="n"/>
      <c r="D633" s="7" t="n"/>
      <c r="G633" s="2" t="n"/>
      <c r="H633" s="12" t="n"/>
    </row>
    <row r="634">
      <c r="C634" s="7" t="n"/>
      <c r="D634" s="7" t="n"/>
      <c r="G634" s="2" t="n"/>
      <c r="H634" s="12" t="n"/>
    </row>
    <row r="635">
      <c r="C635" s="7" t="n"/>
      <c r="D635" s="7" t="n"/>
      <c r="G635" s="2" t="n"/>
      <c r="H635" s="12" t="n"/>
    </row>
    <row r="636">
      <c r="C636" s="7" t="n"/>
      <c r="D636" s="7" t="n"/>
      <c r="G636" s="2" t="n"/>
      <c r="H636" s="12" t="n"/>
    </row>
    <row r="637">
      <c r="C637" s="7" t="n"/>
      <c r="D637" s="7" t="n"/>
      <c r="G637" s="2" t="n"/>
      <c r="H637" s="12" t="n"/>
    </row>
    <row r="638">
      <c r="C638" s="7" t="n"/>
      <c r="D638" s="7" t="n"/>
      <c r="G638" s="2" t="n"/>
      <c r="H638" s="12" t="n"/>
    </row>
    <row r="639">
      <c r="C639" s="7" t="n"/>
      <c r="D639" s="7" t="n"/>
      <c r="G639" s="2" t="n"/>
      <c r="H639" s="12" t="n"/>
    </row>
    <row r="640">
      <c r="C640" s="7" t="n"/>
      <c r="D640" s="7" t="n"/>
      <c r="G640" s="2" t="n"/>
      <c r="H640" s="12" t="n"/>
    </row>
    <row r="641">
      <c r="C641" s="7" t="n"/>
      <c r="D641" s="7" t="n"/>
      <c r="G641" s="2" t="n"/>
      <c r="H641" s="12" t="n"/>
    </row>
    <row r="642">
      <c r="C642" s="7" t="n"/>
      <c r="D642" s="7" t="n"/>
      <c r="G642" s="2" t="n"/>
      <c r="H642" s="12" t="n"/>
    </row>
    <row r="643">
      <c r="C643" s="7" t="n"/>
      <c r="D643" s="7" t="n"/>
      <c r="G643" s="2" t="n"/>
      <c r="H643" s="12" t="n"/>
    </row>
    <row r="644">
      <c r="C644" s="7" t="n"/>
      <c r="D644" s="7" t="n"/>
      <c r="G644" s="2" t="n"/>
      <c r="H644" s="12" t="n"/>
    </row>
    <row r="645">
      <c r="C645" s="7" t="n"/>
      <c r="D645" s="7" t="n"/>
      <c r="G645" s="2" t="n"/>
      <c r="H645" s="12" t="n"/>
    </row>
    <row r="646">
      <c r="C646" s="7" t="n"/>
      <c r="D646" s="7" t="n"/>
      <c r="G646" s="2" t="n"/>
      <c r="H646" s="12" t="n"/>
    </row>
    <row r="647">
      <c r="C647" s="7" t="n"/>
      <c r="D647" s="7" t="n"/>
      <c r="G647" s="2" t="n"/>
      <c r="H647" s="12" t="n"/>
    </row>
    <row r="648">
      <c r="C648" s="7" t="n"/>
      <c r="D648" s="7" t="n"/>
      <c r="G648" s="2" t="n"/>
      <c r="H648" s="12" t="n"/>
    </row>
    <row r="649">
      <c r="C649" s="7" t="n"/>
      <c r="D649" s="7" t="n"/>
      <c r="G649" s="2" t="n"/>
      <c r="H649" s="12" t="n"/>
    </row>
    <row r="650">
      <c r="C650" s="7" t="n"/>
      <c r="D650" s="7" t="n"/>
      <c r="G650" s="2" t="n"/>
      <c r="H650" s="12" t="n"/>
    </row>
    <row r="651">
      <c r="C651" s="7" t="n"/>
      <c r="D651" s="7" t="n"/>
      <c r="G651" s="2" t="n"/>
      <c r="H651" s="12" t="n"/>
    </row>
    <row r="652">
      <c r="C652" s="7" t="n"/>
      <c r="D652" s="7" t="n"/>
      <c r="G652" s="2" t="n"/>
      <c r="H652" s="12" t="n"/>
    </row>
    <row r="653">
      <c r="C653" s="7" t="n"/>
      <c r="D653" s="7" t="n"/>
      <c r="G653" s="2" t="n"/>
      <c r="H653" s="12" t="n"/>
    </row>
    <row r="654">
      <c r="C654" s="7" t="n"/>
      <c r="D654" s="7" t="n"/>
      <c r="G654" s="2" t="n"/>
      <c r="H654" s="12" t="n"/>
    </row>
    <row r="655">
      <c r="C655" s="7" t="n"/>
      <c r="D655" s="7" t="n"/>
      <c r="G655" s="2" t="n"/>
      <c r="H655" s="12" t="n"/>
    </row>
    <row r="656">
      <c r="C656" s="7" t="n"/>
      <c r="D656" s="7" t="n"/>
      <c r="G656" s="2" t="n"/>
      <c r="H656" s="12" t="n"/>
    </row>
    <row r="657">
      <c r="C657" s="7" t="n"/>
      <c r="D657" s="7" t="n"/>
      <c r="G657" s="2" t="n"/>
      <c r="H657" s="12" t="n"/>
    </row>
    <row r="658">
      <c r="C658" s="7" t="n"/>
      <c r="D658" s="7" t="n"/>
      <c r="G658" s="2" t="n"/>
      <c r="H658" s="12" t="n"/>
    </row>
    <row r="659">
      <c r="C659" s="7" t="n"/>
      <c r="D659" s="7" t="n"/>
      <c r="G659" s="2" t="n"/>
      <c r="H659" s="12" t="n"/>
    </row>
    <row r="660">
      <c r="C660" s="7" t="n"/>
      <c r="D660" s="7" t="n"/>
      <c r="G660" s="2" t="n"/>
      <c r="H660" s="12" t="n"/>
    </row>
    <row r="661">
      <c r="C661" s="7" t="n"/>
      <c r="D661" s="7" t="n"/>
      <c r="G661" s="2" t="n"/>
      <c r="H661" s="12" t="n"/>
    </row>
    <row r="662">
      <c r="C662" s="7" t="n"/>
      <c r="D662" s="7" t="n"/>
      <c r="G662" s="2" t="n"/>
      <c r="H662" s="12" t="n"/>
    </row>
    <row r="663">
      <c r="C663" s="7" t="n"/>
      <c r="D663" s="7" t="n"/>
      <c r="G663" s="2" t="n"/>
      <c r="H663" s="12" t="n"/>
    </row>
    <row r="664">
      <c r="C664" s="7" t="n"/>
      <c r="D664" s="7" t="n"/>
      <c r="G664" s="2" t="n"/>
      <c r="H664" s="12" t="n"/>
    </row>
    <row r="665">
      <c r="C665" s="7" t="n"/>
      <c r="D665" s="7" t="n"/>
      <c r="G665" s="2" t="n"/>
      <c r="H665" s="12" t="n"/>
    </row>
    <row r="666">
      <c r="C666" s="7" t="n"/>
      <c r="D666" s="7" t="n"/>
      <c r="G666" s="2" t="n"/>
      <c r="H666" s="12" t="n"/>
    </row>
    <row r="667">
      <c r="C667" s="7" t="n"/>
      <c r="D667" s="7" t="n"/>
      <c r="G667" s="2" t="n"/>
      <c r="H667" s="12" t="n"/>
    </row>
    <row r="668">
      <c r="C668" s="7" t="n"/>
      <c r="D668" s="7" t="n"/>
      <c r="G668" s="2" t="n"/>
      <c r="H668" s="12" t="n"/>
    </row>
    <row r="669">
      <c r="C669" s="7" t="n"/>
      <c r="D669" s="7" t="n"/>
      <c r="G669" s="2" t="n"/>
      <c r="H669" s="12" t="n"/>
    </row>
    <row r="670">
      <c r="C670" s="7" t="n"/>
      <c r="D670" s="7" t="n"/>
      <c r="G670" s="2" t="n"/>
      <c r="H670" s="12" t="n"/>
    </row>
    <row r="671">
      <c r="C671" s="7" t="n"/>
      <c r="D671" s="7" t="n"/>
      <c r="G671" s="2" t="n"/>
      <c r="H671" s="12" t="n"/>
    </row>
    <row r="672">
      <c r="C672" s="7" t="n"/>
      <c r="D672" s="7" t="n"/>
      <c r="G672" s="2" t="n"/>
      <c r="H672" s="12" t="n"/>
    </row>
    <row r="673">
      <c r="C673" s="7" t="n"/>
      <c r="D673" s="7" t="n"/>
      <c r="G673" s="2" t="n"/>
      <c r="H673" s="12" t="n"/>
    </row>
    <row r="674">
      <c r="C674" s="7" t="n"/>
      <c r="D674" s="7" t="n"/>
      <c r="G674" s="2" t="n"/>
      <c r="H674" s="12" t="n"/>
    </row>
    <row r="675">
      <c r="C675" s="7" t="n"/>
      <c r="D675" s="7" t="n"/>
      <c r="G675" s="2" t="n"/>
      <c r="H675" s="12" t="n"/>
    </row>
    <row r="676">
      <c r="C676" s="7" t="n"/>
      <c r="D676" s="7" t="n"/>
      <c r="G676" s="2" t="n"/>
      <c r="H676" s="12" t="n"/>
    </row>
    <row r="677">
      <c r="C677" s="7" t="n"/>
      <c r="D677" s="7" t="n"/>
      <c r="G677" s="2" t="n"/>
      <c r="H677" s="12" t="n"/>
    </row>
    <row r="678">
      <c r="C678" s="7" t="n"/>
      <c r="D678" s="7" t="n"/>
      <c r="G678" s="2" t="n"/>
      <c r="H678" s="12" t="n"/>
    </row>
    <row r="679">
      <c r="C679" s="7" t="n"/>
      <c r="D679" s="7" t="n"/>
      <c r="G679" s="2" t="n"/>
      <c r="H679" s="12" t="n"/>
    </row>
    <row r="680">
      <c r="C680" s="7" t="n"/>
      <c r="D680" s="7" t="n"/>
      <c r="G680" s="2" t="n"/>
      <c r="H680" s="12" t="n"/>
    </row>
    <row r="681">
      <c r="C681" s="7" t="n"/>
      <c r="D681" s="7" t="n"/>
      <c r="G681" s="2" t="n"/>
      <c r="H681" s="12" t="n"/>
    </row>
    <row r="682">
      <c r="C682" s="7" t="n"/>
      <c r="D682" s="7" t="n"/>
      <c r="G682" s="2" t="n"/>
      <c r="H682" s="12" t="n"/>
    </row>
    <row r="683">
      <c r="C683" s="7" t="n"/>
      <c r="D683" s="7" t="n"/>
      <c r="G683" s="2" t="n"/>
      <c r="H683" s="12" t="n"/>
    </row>
    <row r="684">
      <c r="C684" s="7" t="n"/>
      <c r="D684" s="7" t="n"/>
      <c r="G684" s="2" t="n"/>
      <c r="H684" s="12" t="n"/>
    </row>
    <row r="685">
      <c r="C685" s="7" t="n"/>
      <c r="D685" s="7" t="n"/>
      <c r="G685" s="2" t="n"/>
      <c r="H685" s="12" t="n"/>
    </row>
    <row r="686">
      <c r="C686" s="7" t="n"/>
      <c r="D686" s="7" t="n"/>
      <c r="G686" s="2" t="n"/>
      <c r="H686" s="12" t="n"/>
    </row>
    <row r="687">
      <c r="C687" s="7" t="n"/>
      <c r="D687" s="7" t="n"/>
      <c r="G687" s="2" t="n"/>
      <c r="H687" s="12" t="n"/>
    </row>
    <row r="688">
      <c r="C688" s="7" t="n"/>
      <c r="D688" s="7" t="n"/>
      <c r="G688" s="2" t="n"/>
      <c r="H688" s="12" t="n"/>
    </row>
    <row r="689">
      <c r="C689" s="7" t="n"/>
      <c r="D689" s="7" t="n"/>
      <c r="G689" s="2" t="n"/>
      <c r="H689" s="12" t="n"/>
    </row>
    <row r="690">
      <c r="C690" s="7" t="n"/>
      <c r="D690" s="7" t="n"/>
      <c r="G690" s="2" t="n"/>
      <c r="H690" s="12" t="n"/>
    </row>
    <row r="691">
      <c r="C691" s="7" t="n"/>
      <c r="D691" s="7" t="n"/>
      <c r="G691" s="2" t="n"/>
      <c r="H691" s="12" t="n"/>
    </row>
    <row r="692">
      <c r="C692" s="7" t="n"/>
      <c r="D692" s="7" t="n"/>
      <c r="G692" s="2" t="n"/>
      <c r="H692" s="12" t="n"/>
    </row>
    <row r="693">
      <c r="C693" s="7" t="n"/>
      <c r="D693" s="7" t="n"/>
      <c r="G693" s="2" t="n"/>
      <c r="H693" s="12" t="n"/>
    </row>
    <row r="694">
      <c r="C694" s="7" t="n"/>
      <c r="D694" s="7" t="n"/>
      <c r="G694" s="2" t="n"/>
      <c r="H694" s="12" t="n"/>
    </row>
    <row r="695">
      <c r="C695" s="7" t="n"/>
      <c r="D695" s="7" t="n"/>
      <c r="G695" s="2" t="n"/>
      <c r="H695" s="12" t="n"/>
    </row>
    <row r="696">
      <c r="C696" s="7" t="n"/>
      <c r="D696" s="7" t="n"/>
      <c r="G696" s="2" t="n"/>
      <c r="H696" s="12" t="n"/>
    </row>
    <row r="697">
      <c r="C697" s="7" t="n"/>
      <c r="D697" s="7" t="n"/>
      <c r="G697" s="2" t="n"/>
      <c r="H697" s="12" t="n"/>
    </row>
    <row r="698">
      <c r="C698" s="7" t="n"/>
      <c r="D698" s="7" t="n"/>
      <c r="G698" s="2" t="n"/>
      <c r="H698" s="12" t="n"/>
    </row>
    <row r="699">
      <c r="C699" s="7" t="n"/>
      <c r="D699" s="7" t="n"/>
      <c r="G699" s="2" t="n"/>
      <c r="H699" s="12" t="n"/>
    </row>
    <row r="700">
      <c r="C700" s="7" t="n"/>
      <c r="D700" s="7" t="n"/>
      <c r="G700" s="2" t="n"/>
      <c r="H700" s="12" t="n"/>
    </row>
    <row r="701">
      <c r="C701" s="7" t="n"/>
      <c r="D701" s="7" t="n"/>
      <c r="G701" s="2" t="n"/>
      <c r="H701" s="12" t="n"/>
    </row>
    <row r="702">
      <c r="C702" s="7" t="n"/>
      <c r="D702" s="7" t="n"/>
      <c r="G702" s="2" t="n"/>
      <c r="H702" s="12" t="n"/>
    </row>
    <row r="703">
      <c r="C703" s="7" t="n"/>
      <c r="D703" s="7" t="n"/>
      <c r="G703" s="2" t="n"/>
      <c r="H703" s="12" t="n"/>
    </row>
    <row r="704">
      <c r="C704" s="7" t="n"/>
      <c r="D704" s="7" t="n"/>
      <c r="G704" s="2" t="n"/>
      <c r="H704" s="12" t="n"/>
    </row>
    <row r="705">
      <c r="C705" s="7" t="n"/>
      <c r="D705" s="7" t="n"/>
      <c r="G705" s="2" t="n"/>
      <c r="H705" s="12" t="n"/>
    </row>
    <row r="706">
      <c r="C706" s="7" t="n"/>
      <c r="D706" s="7" t="n"/>
      <c r="G706" s="2" t="n"/>
      <c r="H706" s="12" t="n"/>
    </row>
    <row r="707">
      <c r="C707" s="7" t="n"/>
      <c r="D707" s="7" t="n"/>
      <c r="G707" s="2" t="n"/>
      <c r="H707" s="12" t="n"/>
    </row>
    <row r="708">
      <c r="C708" s="7" t="n"/>
      <c r="D708" s="7" t="n"/>
      <c r="G708" s="2" t="n"/>
      <c r="H708" s="12" t="n"/>
    </row>
    <row r="709">
      <c r="C709" s="7" t="n"/>
      <c r="D709" s="7" t="n"/>
      <c r="G709" s="2" t="n"/>
      <c r="H709" s="12" t="n"/>
    </row>
    <row r="710">
      <c r="C710" s="7" t="n"/>
      <c r="D710" s="7" t="n"/>
      <c r="G710" s="2" t="n"/>
      <c r="H710" s="12" t="n"/>
    </row>
    <row r="711">
      <c r="C711" s="7" t="n"/>
      <c r="D711" s="7" t="n"/>
      <c r="G711" s="2" t="n"/>
      <c r="H711" s="12" t="n"/>
    </row>
    <row r="712">
      <c r="C712" s="7" t="n"/>
      <c r="D712" s="7" t="n"/>
      <c r="G712" s="2" t="n"/>
      <c r="H712" s="12" t="n"/>
    </row>
    <row r="713">
      <c r="C713" s="7" t="n"/>
      <c r="D713" s="7" t="n"/>
      <c r="G713" s="2" t="n"/>
      <c r="H713" s="12" t="n"/>
    </row>
    <row r="714">
      <c r="C714" s="7" t="n"/>
      <c r="D714" s="7" t="n"/>
      <c r="G714" s="2" t="n"/>
      <c r="H714" s="12" t="n"/>
    </row>
    <row r="715">
      <c r="C715" s="7" t="n"/>
      <c r="D715" s="7" t="n"/>
      <c r="G715" s="2" t="n"/>
      <c r="H715" s="12" t="n"/>
    </row>
    <row r="716">
      <c r="C716" s="7" t="n"/>
      <c r="D716" s="7" t="n"/>
      <c r="G716" s="2" t="n"/>
      <c r="H716" s="12" t="n"/>
    </row>
    <row r="717">
      <c r="C717" s="7" t="n"/>
      <c r="D717" s="7" t="n"/>
      <c r="G717" s="2" t="n"/>
      <c r="H717" s="12" t="n"/>
    </row>
    <row r="718">
      <c r="C718" s="7" t="n"/>
      <c r="D718" s="7" t="n"/>
      <c r="G718" s="2" t="n"/>
      <c r="H718" s="12" t="n"/>
    </row>
    <row r="719">
      <c r="C719" s="7" t="n"/>
      <c r="D719" s="7" t="n"/>
      <c r="G719" s="2" t="n"/>
      <c r="H719" s="12" t="n"/>
    </row>
    <row r="720">
      <c r="C720" s="7" t="n"/>
      <c r="D720" s="7" t="n"/>
      <c r="G720" s="2" t="n"/>
      <c r="H720" s="12" t="n"/>
    </row>
    <row r="721">
      <c r="C721" s="7" t="n"/>
      <c r="D721" s="7" t="n"/>
      <c r="G721" s="2" t="n"/>
      <c r="H721" s="12" t="n"/>
    </row>
    <row r="722">
      <c r="C722" s="7" t="n"/>
      <c r="D722" s="7" t="n"/>
      <c r="G722" s="2" t="n"/>
      <c r="H722" s="12" t="n"/>
    </row>
    <row r="723">
      <c r="C723" s="7" t="n"/>
      <c r="D723" s="7" t="n"/>
      <c r="G723" s="2" t="n"/>
      <c r="H723" s="12" t="n"/>
    </row>
    <row r="724">
      <c r="C724" s="7" t="n"/>
      <c r="D724" s="7" t="n"/>
      <c r="G724" s="2" t="n"/>
      <c r="H724" s="12" t="n"/>
    </row>
    <row r="725">
      <c r="C725" s="7" t="n"/>
      <c r="D725" s="7" t="n"/>
      <c r="G725" s="2" t="n"/>
      <c r="H725" s="12" t="n"/>
    </row>
    <row r="726">
      <c r="C726" s="7" t="n"/>
      <c r="D726" s="7" t="n"/>
      <c r="G726" s="2" t="n"/>
      <c r="H726" s="12" t="n"/>
    </row>
    <row r="727">
      <c r="C727" s="7" t="n"/>
      <c r="D727" s="7" t="n"/>
      <c r="G727" s="2" t="n"/>
      <c r="H727" s="12" t="n"/>
    </row>
    <row r="728">
      <c r="C728" s="7" t="n"/>
      <c r="D728" s="7" t="n"/>
      <c r="G728" s="2" t="n"/>
      <c r="H728" s="12" t="n"/>
    </row>
    <row r="729">
      <c r="C729" s="7" t="n"/>
      <c r="D729" s="7" t="n"/>
      <c r="G729" s="2" t="n"/>
      <c r="H729" s="12" t="n"/>
    </row>
    <row r="730">
      <c r="C730" s="7" t="n"/>
      <c r="D730" s="7" t="n"/>
      <c r="G730" s="2" t="n"/>
      <c r="H730" s="12" t="n"/>
    </row>
    <row r="731">
      <c r="C731" s="7" t="n"/>
      <c r="D731" s="7" t="n"/>
      <c r="G731" s="2" t="n"/>
      <c r="H731" s="12" t="n"/>
    </row>
    <row r="732">
      <c r="C732" s="7" t="n"/>
      <c r="D732" s="7" t="n"/>
      <c r="G732" s="2" t="n"/>
      <c r="H732" s="12" t="n"/>
    </row>
    <row r="733">
      <c r="C733" s="7" t="n"/>
      <c r="D733" s="7" t="n"/>
      <c r="G733" s="2" t="n"/>
      <c r="H733" s="12" t="n"/>
    </row>
    <row r="734">
      <c r="C734" s="7" t="n"/>
      <c r="D734" s="7" t="n"/>
      <c r="G734" s="2" t="n"/>
      <c r="H734" s="12" t="n"/>
    </row>
    <row r="735">
      <c r="C735" s="7" t="n"/>
      <c r="D735" s="7" t="n"/>
      <c r="G735" s="2" t="n"/>
      <c r="H735" s="12" t="n"/>
    </row>
    <row r="736">
      <c r="C736" s="7" t="n"/>
      <c r="D736" s="7" t="n"/>
      <c r="G736" s="2" t="n"/>
      <c r="H736" s="12" t="n"/>
    </row>
    <row r="737">
      <c r="C737" s="7" t="n"/>
      <c r="D737" s="7" t="n"/>
      <c r="G737" s="2" t="n"/>
      <c r="H737" s="12" t="n"/>
    </row>
    <row r="738">
      <c r="C738" s="7" t="n"/>
      <c r="D738" s="7" t="n"/>
      <c r="G738" s="2" t="n"/>
      <c r="H738" s="12" t="n"/>
    </row>
    <row r="739">
      <c r="C739" s="7" t="n"/>
      <c r="D739" s="7" t="n"/>
      <c r="G739" s="2" t="n"/>
      <c r="H739" s="12" t="n"/>
    </row>
    <row r="740">
      <c r="C740" s="7" t="n"/>
      <c r="D740" s="7" t="n"/>
      <c r="G740" s="2" t="n"/>
      <c r="H740" s="12" t="n"/>
    </row>
    <row r="741">
      <c r="C741" s="7" t="n"/>
      <c r="D741" s="7" t="n"/>
      <c r="G741" s="2" t="n"/>
      <c r="H741" s="12" t="n"/>
    </row>
    <row r="742">
      <c r="C742" s="7" t="n"/>
      <c r="D742" s="7" t="n"/>
      <c r="G742" s="2" t="n"/>
      <c r="H742" s="12" t="n"/>
    </row>
    <row r="743">
      <c r="C743" s="7" t="n"/>
      <c r="D743" s="7" t="n"/>
      <c r="G743" s="2" t="n"/>
      <c r="H743" s="12" t="n"/>
    </row>
    <row r="744">
      <c r="C744" s="7" t="n"/>
      <c r="D744" s="7" t="n"/>
      <c r="G744" s="2" t="n"/>
      <c r="H744" s="12" t="n"/>
    </row>
    <row r="745">
      <c r="C745" s="7" t="n"/>
      <c r="D745" s="7" t="n"/>
      <c r="G745" s="2" t="n"/>
      <c r="H745" s="12" t="n"/>
    </row>
    <row r="746">
      <c r="C746" s="7" t="n"/>
      <c r="D746" s="7" t="n"/>
      <c r="G746" s="2" t="n"/>
      <c r="H746" s="12" t="n"/>
    </row>
    <row r="747">
      <c r="C747" s="7" t="n"/>
      <c r="D747" s="7" t="n"/>
      <c r="G747" s="2" t="n"/>
      <c r="H747" s="12" t="n"/>
    </row>
    <row r="748">
      <c r="C748" s="7" t="n"/>
      <c r="D748" s="7" t="n"/>
      <c r="G748" s="2" t="n"/>
      <c r="H748" s="12" t="n"/>
    </row>
    <row r="749">
      <c r="C749" s="7" t="n"/>
      <c r="D749" s="7" t="n"/>
      <c r="G749" s="2" t="n"/>
      <c r="H749" s="12" t="n"/>
    </row>
    <row r="750">
      <c r="C750" s="7" t="n"/>
      <c r="D750" s="7" t="n"/>
      <c r="G750" s="2" t="n"/>
      <c r="H750" s="12" t="n"/>
    </row>
    <row r="751">
      <c r="C751" s="7" t="n"/>
      <c r="D751" s="7" t="n"/>
      <c r="G751" s="2" t="n"/>
      <c r="H751" s="12" t="n"/>
    </row>
    <row r="752">
      <c r="C752" s="7" t="n"/>
      <c r="D752" s="7" t="n"/>
      <c r="G752" s="2" t="n"/>
      <c r="H752" s="12" t="n"/>
    </row>
    <row r="753">
      <c r="C753" s="7" t="n"/>
      <c r="D753" s="7" t="n"/>
      <c r="G753" s="2" t="n"/>
      <c r="H753" s="12" t="n"/>
    </row>
    <row r="754">
      <c r="C754" s="7" t="n"/>
      <c r="D754" s="7" t="n"/>
      <c r="G754" s="2" t="n"/>
      <c r="H754" s="12" t="n"/>
    </row>
    <row r="755">
      <c r="C755" s="7" t="n"/>
      <c r="D755" s="7" t="n"/>
      <c r="G755" s="2" t="n"/>
      <c r="H755" s="12" t="n"/>
    </row>
    <row r="756">
      <c r="C756" s="7" t="n"/>
      <c r="D756" s="7" t="n"/>
      <c r="G756" s="2" t="n"/>
      <c r="H756" s="12" t="n"/>
    </row>
    <row r="757">
      <c r="C757" s="7" t="n"/>
      <c r="D757" s="7" t="n"/>
      <c r="G757" s="2" t="n"/>
      <c r="H757" s="12" t="n"/>
    </row>
    <row r="758">
      <c r="C758" s="7" t="n"/>
      <c r="D758" s="7" t="n"/>
      <c r="G758" s="2" t="n"/>
      <c r="H758" s="12" t="n"/>
    </row>
    <row r="759">
      <c r="C759" s="7" t="n"/>
      <c r="D759" s="7" t="n"/>
      <c r="G759" s="2" t="n"/>
      <c r="H759" s="12" t="n"/>
    </row>
    <row r="760">
      <c r="C760" s="7" t="n"/>
      <c r="D760" s="7" t="n"/>
      <c r="G760" s="2" t="n"/>
      <c r="H760" s="12" t="n"/>
    </row>
    <row r="761">
      <c r="C761" s="7" t="n"/>
      <c r="D761" s="7" t="n"/>
      <c r="G761" s="2" t="n"/>
      <c r="H761" s="12" t="n"/>
    </row>
    <row r="762">
      <c r="C762" s="7" t="n"/>
      <c r="D762" s="7" t="n"/>
      <c r="G762" s="2" t="n"/>
      <c r="H762" s="12" t="n"/>
    </row>
    <row r="763">
      <c r="C763" s="7" t="n"/>
      <c r="D763" s="7" t="n"/>
      <c r="G763" s="2" t="n"/>
      <c r="H763" s="12" t="n"/>
    </row>
    <row r="764">
      <c r="C764" s="7" t="n"/>
      <c r="D764" s="7" t="n"/>
      <c r="G764" s="2" t="n"/>
      <c r="H764" s="12" t="n"/>
    </row>
    <row r="765">
      <c r="C765" s="7" t="n"/>
      <c r="D765" s="7" t="n"/>
      <c r="G765" s="2" t="n"/>
      <c r="H765" s="12" t="n"/>
    </row>
    <row r="766">
      <c r="C766" s="7" t="n"/>
      <c r="D766" s="7" t="n"/>
      <c r="G766" s="2" t="n"/>
      <c r="H766" s="12" t="n"/>
    </row>
    <row r="767">
      <c r="C767" s="7" t="n"/>
      <c r="D767" s="7" t="n"/>
      <c r="G767" s="2" t="n"/>
      <c r="H767" s="12" t="n"/>
    </row>
    <row r="768">
      <c r="C768" s="7" t="n"/>
      <c r="D768" s="7" t="n"/>
      <c r="G768" s="2" t="n"/>
      <c r="H768" s="12" t="n"/>
    </row>
    <row r="769">
      <c r="C769" s="7" t="n"/>
      <c r="D769" s="7" t="n"/>
      <c r="G769" s="2" t="n"/>
      <c r="H769" s="12" t="n"/>
    </row>
    <row r="770">
      <c r="C770" s="7" t="n"/>
      <c r="D770" s="7" t="n"/>
      <c r="G770" s="2" t="n"/>
      <c r="H770" s="12" t="n"/>
    </row>
    <row r="771">
      <c r="C771" s="7" t="n"/>
      <c r="D771" s="7" t="n"/>
      <c r="G771" s="2" t="n"/>
      <c r="H771" s="12" t="n"/>
    </row>
    <row r="772">
      <c r="C772" s="7" t="n"/>
      <c r="D772" s="7" t="n"/>
      <c r="G772" s="2" t="n"/>
      <c r="H772" s="12" t="n"/>
    </row>
    <row r="773">
      <c r="C773" s="7" t="n"/>
      <c r="D773" s="7" t="n"/>
      <c r="G773" s="2" t="n"/>
      <c r="H773" s="12" t="n"/>
    </row>
    <row r="774">
      <c r="C774" s="7" t="n"/>
      <c r="D774" s="7" t="n"/>
      <c r="G774" s="2" t="n"/>
      <c r="H774" s="12" t="n"/>
    </row>
    <row r="775">
      <c r="C775" s="7" t="n"/>
      <c r="D775" s="7" t="n"/>
      <c r="G775" s="2" t="n"/>
      <c r="H775" s="12" t="n"/>
    </row>
    <row r="776">
      <c r="C776" s="7" t="n"/>
      <c r="D776" s="7" t="n"/>
      <c r="G776" s="2" t="n"/>
      <c r="H776" s="12" t="n"/>
    </row>
    <row r="777">
      <c r="C777" s="7" t="n"/>
      <c r="D777" s="7" t="n"/>
      <c r="G777" s="2" t="n"/>
      <c r="H777" s="12" t="n"/>
    </row>
    <row r="778">
      <c r="C778" s="7" t="n"/>
      <c r="D778" s="7" t="n"/>
      <c r="G778" s="2" t="n"/>
      <c r="H778" s="12" t="n"/>
    </row>
    <row r="779">
      <c r="C779" s="7" t="n"/>
      <c r="D779" s="7" t="n"/>
      <c r="G779" s="2" t="n"/>
      <c r="H779" s="12" t="n"/>
    </row>
    <row r="780">
      <c r="C780" s="7" t="n"/>
      <c r="D780" s="7" t="n"/>
      <c r="G780" s="2" t="n"/>
      <c r="H780" s="12" t="n"/>
    </row>
    <row r="781">
      <c r="C781" s="7" t="n"/>
      <c r="D781" s="7" t="n"/>
      <c r="G781" s="2" t="n"/>
      <c r="H781" s="12" t="n"/>
    </row>
    <row r="782">
      <c r="C782" s="7" t="n"/>
      <c r="D782" s="7" t="n"/>
      <c r="G782" s="2" t="n"/>
      <c r="H782" s="12" t="n"/>
    </row>
    <row r="783">
      <c r="C783" s="7" t="n"/>
      <c r="D783" s="7" t="n"/>
      <c r="G783" s="2" t="n"/>
      <c r="H783" s="12" t="n"/>
    </row>
    <row r="784">
      <c r="C784" s="7" t="n"/>
      <c r="D784" s="7" t="n"/>
      <c r="G784" s="2" t="n"/>
      <c r="H784" s="12" t="n"/>
    </row>
    <row r="785">
      <c r="C785" s="7" t="n"/>
      <c r="D785" s="7" t="n"/>
      <c r="G785" s="2" t="n"/>
      <c r="H785" s="12" t="n"/>
    </row>
    <row r="786">
      <c r="C786" s="7" t="n"/>
      <c r="D786" s="7" t="n"/>
      <c r="G786" s="2" t="n"/>
      <c r="H786" s="12" t="n"/>
    </row>
    <row r="787">
      <c r="C787" s="7" t="n"/>
      <c r="D787" s="7" t="n"/>
      <c r="G787" s="2" t="n"/>
      <c r="H787" s="12" t="n"/>
    </row>
    <row r="788">
      <c r="C788" s="7" t="n"/>
      <c r="D788" s="7" t="n"/>
      <c r="G788" s="2" t="n"/>
      <c r="H788" s="12" t="n"/>
    </row>
    <row r="789">
      <c r="C789" s="7" t="n"/>
      <c r="D789" s="7" t="n"/>
      <c r="G789" s="2" t="n"/>
      <c r="H789" s="12" t="n"/>
    </row>
    <row r="790">
      <c r="C790" s="7" t="n"/>
      <c r="D790" s="7" t="n"/>
      <c r="G790" s="2" t="n"/>
      <c r="H790" s="12" t="n"/>
    </row>
    <row r="791">
      <c r="C791" s="7" t="n"/>
      <c r="D791" s="7" t="n"/>
      <c r="G791" s="2" t="n"/>
      <c r="H791" s="12" t="n"/>
    </row>
    <row r="792">
      <c r="C792" s="7" t="n"/>
      <c r="D792" s="7" t="n"/>
      <c r="G792" s="2" t="n"/>
      <c r="H792" s="12" t="n"/>
    </row>
    <row r="793">
      <c r="C793" s="7" t="n"/>
      <c r="D793" s="7" t="n"/>
      <c r="G793" s="2" t="n"/>
      <c r="H793" s="12" t="n"/>
    </row>
    <row r="794">
      <c r="C794" s="7" t="n"/>
      <c r="D794" s="7" t="n"/>
      <c r="G794" s="2" t="n"/>
      <c r="H794" s="12" t="n"/>
    </row>
    <row r="795">
      <c r="C795" s="7" t="n"/>
      <c r="D795" s="7" t="n"/>
      <c r="G795" s="2" t="n"/>
      <c r="H795" s="12" t="n"/>
    </row>
    <row r="796">
      <c r="C796" s="7" t="n"/>
      <c r="D796" s="7" t="n"/>
      <c r="G796" s="2" t="n"/>
      <c r="H796" s="12" t="n"/>
    </row>
    <row r="797">
      <c r="C797" s="7" t="n"/>
      <c r="D797" s="7" t="n"/>
      <c r="G797" s="2" t="n"/>
      <c r="H797" s="12" t="n"/>
    </row>
    <row r="798">
      <c r="C798" s="7" t="n"/>
      <c r="D798" s="7" t="n"/>
      <c r="G798" s="2" t="n"/>
      <c r="H798" s="12" t="n"/>
    </row>
    <row r="799">
      <c r="C799" s="7" t="n"/>
      <c r="D799" s="7" t="n"/>
      <c r="G799" s="2" t="n"/>
      <c r="H799" s="12" t="n"/>
    </row>
    <row r="800">
      <c r="C800" s="7" t="n"/>
      <c r="D800" s="7" t="n"/>
      <c r="G800" s="2" t="n"/>
      <c r="H800" s="12" t="n"/>
    </row>
    <row r="801">
      <c r="C801" s="7" t="n"/>
      <c r="D801" s="7" t="n"/>
      <c r="G801" s="2" t="n"/>
      <c r="H801" s="12" t="n"/>
    </row>
    <row r="802">
      <c r="C802" s="7" t="n"/>
      <c r="D802" s="7" t="n"/>
      <c r="G802" s="2" t="n"/>
      <c r="H802" s="12" t="n"/>
    </row>
    <row r="803">
      <c r="C803" s="7" t="n"/>
      <c r="D803" s="7" t="n"/>
      <c r="G803" s="2" t="n"/>
      <c r="H803" s="12" t="n"/>
    </row>
    <row r="804">
      <c r="C804" s="7" t="n"/>
      <c r="D804" s="7" t="n"/>
      <c r="G804" s="2" t="n"/>
      <c r="H804" s="12" t="n"/>
    </row>
    <row r="805">
      <c r="C805" s="7" t="n"/>
      <c r="D805" s="7" t="n"/>
      <c r="G805" s="2" t="n"/>
      <c r="H805" s="12" t="n"/>
    </row>
    <row r="806">
      <c r="C806" s="7" t="n"/>
      <c r="D806" s="7" t="n"/>
      <c r="G806" s="2" t="n"/>
      <c r="H806" s="12" t="n"/>
    </row>
    <row r="807">
      <c r="C807" s="7" t="n"/>
      <c r="D807" s="7" t="n"/>
      <c r="G807" s="2" t="n"/>
      <c r="H807" s="12" t="n"/>
    </row>
    <row r="808">
      <c r="C808" s="7" t="n"/>
      <c r="D808" s="7" t="n"/>
      <c r="G808" s="2" t="n"/>
      <c r="H808" s="12" t="n"/>
    </row>
    <row r="809">
      <c r="C809" s="7" t="n"/>
      <c r="D809" s="7" t="n"/>
      <c r="G809" s="2" t="n"/>
      <c r="H809" s="12" t="n"/>
    </row>
    <row r="810">
      <c r="C810" s="7" t="n"/>
      <c r="D810" s="7" t="n"/>
      <c r="G810" s="2" t="n"/>
      <c r="H810" s="12" t="n"/>
    </row>
    <row r="811">
      <c r="C811" s="7" t="n"/>
      <c r="D811" s="7" t="n"/>
      <c r="G811" s="2" t="n"/>
      <c r="H811" s="12" t="n"/>
    </row>
    <row r="812">
      <c r="C812" s="7" t="n"/>
      <c r="D812" s="7" t="n"/>
      <c r="G812" s="2" t="n"/>
      <c r="H812" s="12" t="n"/>
    </row>
    <row r="813">
      <c r="C813" s="7" t="n"/>
      <c r="D813" s="7" t="n"/>
      <c r="G813" s="2" t="n"/>
      <c r="H813" s="12" t="n"/>
    </row>
    <row r="814">
      <c r="C814" s="7" t="n"/>
      <c r="D814" s="7" t="n"/>
      <c r="G814" s="2" t="n"/>
      <c r="H814" s="12" t="n"/>
    </row>
    <row r="815">
      <c r="C815" s="7" t="n"/>
      <c r="D815" s="7" t="n"/>
      <c r="G815" s="2" t="n"/>
      <c r="H815" s="12" t="n"/>
    </row>
    <row r="816">
      <c r="C816" s="7" t="n"/>
      <c r="D816" s="7" t="n"/>
      <c r="G816" s="2" t="n"/>
      <c r="H816" s="12" t="n"/>
    </row>
    <row r="817">
      <c r="C817" s="7" t="n"/>
      <c r="D817" s="7" t="n"/>
      <c r="G817" s="2" t="n"/>
      <c r="H817" s="12" t="n"/>
    </row>
    <row r="818">
      <c r="C818" s="7" t="n"/>
      <c r="D818" s="7" t="n"/>
      <c r="G818" s="2" t="n"/>
      <c r="H818" s="12" t="n"/>
    </row>
    <row r="819">
      <c r="C819" s="7" t="n"/>
      <c r="D819" s="7" t="n"/>
      <c r="G819" s="2" t="n"/>
      <c r="H819" s="12" t="n"/>
    </row>
    <row r="820">
      <c r="C820" s="7" t="n"/>
      <c r="D820" s="7" t="n"/>
      <c r="G820" s="2" t="n"/>
      <c r="H820" s="12" t="n"/>
    </row>
    <row r="821">
      <c r="C821" s="7" t="n"/>
      <c r="D821" s="7" t="n"/>
      <c r="G821" s="2" t="n"/>
      <c r="H821" s="12" t="n"/>
    </row>
    <row r="822">
      <c r="C822" s="7" t="n"/>
      <c r="D822" s="7" t="n"/>
      <c r="G822" s="2" t="n"/>
      <c r="H822" s="12" t="n"/>
    </row>
    <row r="823">
      <c r="C823" s="7" t="n"/>
      <c r="D823" s="7" t="n"/>
      <c r="G823" s="2" t="n"/>
      <c r="H823" s="12" t="n"/>
    </row>
    <row r="824">
      <c r="C824" s="7" t="n"/>
      <c r="D824" s="7" t="n"/>
      <c r="G824" s="2" t="n"/>
      <c r="H824" s="12" t="n"/>
    </row>
    <row r="825">
      <c r="C825" s="7" t="n"/>
      <c r="D825" s="7" t="n"/>
      <c r="G825" s="2" t="n"/>
      <c r="H825" s="12" t="n"/>
    </row>
    <row r="826">
      <c r="C826" s="7" t="n"/>
      <c r="D826" s="7" t="n"/>
      <c r="G826" s="2" t="n"/>
      <c r="H826" s="12" t="n"/>
    </row>
    <row r="827">
      <c r="C827" s="7" t="n"/>
      <c r="D827" s="7" t="n"/>
      <c r="G827" s="2" t="n"/>
      <c r="H827" s="12" t="n"/>
    </row>
    <row r="828">
      <c r="C828" s="7" t="n"/>
      <c r="D828" s="7" t="n"/>
      <c r="G828" s="2" t="n"/>
      <c r="H828" s="12" t="n"/>
    </row>
    <row r="829">
      <c r="C829" s="7" t="n"/>
      <c r="D829" s="7" t="n"/>
      <c r="G829" s="2" t="n"/>
      <c r="H829" s="12" t="n"/>
    </row>
    <row r="830">
      <c r="C830" s="7" t="n"/>
      <c r="D830" s="7" t="n"/>
      <c r="G830" s="2" t="n"/>
      <c r="H830" s="12" t="n"/>
    </row>
    <row r="831">
      <c r="C831" s="7" t="n"/>
      <c r="D831" s="7" t="n"/>
      <c r="G831" s="2" t="n"/>
      <c r="H831" s="12" t="n"/>
    </row>
    <row r="832">
      <c r="C832" s="7" t="n"/>
      <c r="D832" s="7" t="n"/>
      <c r="G832" s="2" t="n"/>
      <c r="H832" s="12" t="n"/>
    </row>
    <row r="833">
      <c r="C833" s="7" t="n"/>
      <c r="D833" s="7" t="n"/>
      <c r="G833" s="2" t="n"/>
      <c r="H833" s="12" t="n"/>
    </row>
    <row r="834">
      <c r="C834" s="7" t="n"/>
      <c r="D834" s="7" t="n"/>
      <c r="G834" s="2" t="n"/>
      <c r="H834" s="12" t="n"/>
    </row>
    <row r="835">
      <c r="C835" s="7" t="n"/>
      <c r="D835" s="7" t="n"/>
      <c r="G835" s="2" t="n"/>
      <c r="H835" s="12" t="n"/>
    </row>
    <row r="836">
      <c r="C836" s="7" t="n"/>
      <c r="D836" s="7" t="n"/>
      <c r="G836" s="2" t="n"/>
      <c r="H836" s="12" t="n"/>
    </row>
    <row r="837">
      <c r="C837" s="7" t="n"/>
      <c r="D837" s="7" t="n"/>
      <c r="G837" s="2" t="n"/>
      <c r="H837" s="12" t="n"/>
    </row>
    <row r="838">
      <c r="C838" s="7" t="n"/>
      <c r="D838" s="7" t="n"/>
      <c r="G838" s="2" t="n"/>
      <c r="H838" s="12" t="n"/>
    </row>
    <row r="839">
      <c r="C839" s="7" t="n"/>
      <c r="D839" s="7" t="n"/>
      <c r="G839" s="2" t="n"/>
      <c r="H839" s="12" t="n"/>
    </row>
    <row r="840">
      <c r="C840" s="7" t="n"/>
      <c r="D840" s="7" t="n"/>
      <c r="G840" s="2" t="n"/>
      <c r="H840" s="12" t="n"/>
    </row>
    <row r="841">
      <c r="C841" s="7" t="n"/>
      <c r="D841" s="7" t="n"/>
      <c r="G841" s="2" t="n"/>
      <c r="H841" s="12" t="n"/>
    </row>
    <row r="842">
      <c r="C842" s="7" t="n"/>
      <c r="D842" s="7" t="n"/>
      <c r="G842" s="2" t="n"/>
      <c r="H842" s="12" t="n"/>
    </row>
    <row r="843">
      <c r="C843" s="7" t="n"/>
      <c r="D843" s="7" t="n"/>
      <c r="G843" s="2" t="n"/>
      <c r="H843" s="12" t="n"/>
    </row>
    <row r="844">
      <c r="C844" s="7" t="n"/>
      <c r="D844" s="7" t="n"/>
      <c r="G844" s="2" t="n"/>
      <c r="H844" s="12" t="n"/>
    </row>
    <row r="845">
      <c r="C845" s="7" t="n"/>
      <c r="D845" s="7" t="n"/>
      <c r="G845" s="2" t="n"/>
      <c r="H845" s="12" t="n"/>
    </row>
    <row r="846">
      <c r="C846" s="7" t="n"/>
      <c r="D846" s="7" t="n"/>
      <c r="G846" s="2" t="n"/>
      <c r="H846" s="12" t="n"/>
    </row>
    <row r="847">
      <c r="C847" s="7" t="n"/>
      <c r="D847" s="7" t="n"/>
      <c r="G847" s="2" t="n"/>
      <c r="H847" s="12" t="n"/>
    </row>
    <row r="848">
      <c r="C848" s="7" t="n"/>
      <c r="D848" s="7" t="n"/>
      <c r="G848" s="2" t="n"/>
      <c r="H848" s="12" t="n"/>
    </row>
    <row r="849">
      <c r="C849" s="7" t="n"/>
      <c r="D849" s="7" t="n"/>
      <c r="G849" s="2" t="n"/>
      <c r="H849" s="12" t="n"/>
    </row>
    <row r="850">
      <c r="C850" s="7" t="n"/>
      <c r="D850" s="7" t="n"/>
      <c r="G850" s="2" t="n"/>
      <c r="H850" s="12" t="n"/>
    </row>
    <row r="851">
      <c r="C851" s="7" t="n"/>
      <c r="D851" s="7" t="n"/>
      <c r="G851" s="2" t="n"/>
      <c r="H851" s="12" t="n"/>
    </row>
    <row r="852">
      <c r="C852" s="7" t="n"/>
      <c r="D852" s="7" t="n"/>
      <c r="G852" s="2" t="n"/>
      <c r="H852" s="12" t="n"/>
    </row>
    <row r="853">
      <c r="C853" s="7" t="n"/>
      <c r="D853" s="7" t="n"/>
      <c r="G853" s="2" t="n"/>
      <c r="H853" s="12" t="n"/>
    </row>
    <row r="854">
      <c r="C854" s="7" t="n"/>
      <c r="D854" s="7" t="n"/>
      <c r="G854" s="2" t="n"/>
      <c r="H854" s="12" t="n"/>
    </row>
    <row r="855">
      <c r="C855" s="7" t="n"/>
      <c r="D855" s="7" t="n"/>
      <c r="G855" s="2" t="n"/>
      <c r="H855" s="12" t="n"/>
    </row>
    <row r="856">
      <c r="C856" s="7" t="n"/>
      <c r="D856" s="7" t="n"/>
      <c r="G856" s="2" t="n"/>
      <c r="H856" s="12" t="n"/>
    </row>
    <row r="857">
      <c r="C857" s="7" t="n"/>
      <c r="D857" s="7" t="n"/>
      <c r="G857" s="2" t="n"/>
      <c r="H857" s="12" t="n"/>
    </row>
    <row r="858">
      <c r="C858" s="7" t="n"/>
      <c r="D858" s="7" t="n"/>
      <c r="G858" s="2" t="n"/>
      <c r="H858" s="12" t="n"/>
    </row>
    <row r="859">
      <c r="C859" s="7" t="n"/>
      <c r="D859" s="7" t="n"/>
      <c r="G859" s="2" t="n"/>
      <c r="H859" s="12" t="n"/>
    </row>
    <row r="860">
      <c r="C860" s="7" t="n"/>
      <c r="D860" s="7" t="n"/>
      <c r="G860" s="2" t="n"/>
      <c r="H860" s="12" t="n"/>
    </row>
    <row r="861">
      <c r="C861" s="7" t="n"/>
      <c r="D861" s="7" t="n"/>
      <c r="G861" s="2" t="n"/>
      <c r="H861" s="12" t="n"/>
    </row>
    <row r="862">
      <c r="C862" s="7" t="n"/>
      <c r="D862" s="7" t="n"/>
      <c r="G862" s="2" t="n"/>
      <c r="H862" s="12" t="n"/>
    </row>
    <row r="863">
      <c r="C863" s="7" t="n"/>
      <c r="D863" s="7" t="n"/>
      <c r="G863" s="2" t="n"/>
      <c r="H863" s="12" t="n"/>
    </row>
    <row r="864">
      <c r="C864" s="7" t="n"/>
      <c r="D864" s="7" t="n"/>
      <c r="G864" s="2" t="n"/>
      <c r="H864" s="12" t="n"/>
    </row>
    <row r="865">
      <c r="C865" s="7" t="n"/>
      <c r="D865" s="7" t="n"/>
      <c r="G865" s="2" t="n"/>
      <c r="H865" s="12" t="n"/>
    </row>
    <row r="866">
      <c r="C866" s="7" t="n"/>
      <c r="D866" s="7" t="n"/>
      <c r="G866" s="2" t="n"/>
      <c r="H866" s="12" t="n"/>
    </row>
    <row r="867">
      <c r="C867" s="7" t="n"/>
      <c r="D867" s="7" t="n"/>
      <c r="G867" s="2" t="n"/>
      <c r="H867" s="12" t="n"/>
    </row>
    <row r="868">
      <c r="C868" s="7" t="n"/>
      <c r="D868" s="7" t="n"/>
      <c r="G868" s="2" t="n"/>
      <c r="H868" s="12" t="n"/>
    </row>
    <row r="869">
      <c r="C869" s="7" t="n"/>
      <c r="D869" s="7" t="n"/>
      <c r="G869" s="2" t="n"/>
      <c r="H869" s="12" t="n"/>
    </row>
    <row r="870">
      <c r="C870" s="7" t="n"/>
      <c r="D870" s="7" t="n"/>
      <c r="G870" s="2" t="n"/>
      <c r="H870" s="12" t="n"/>
    </row>
    <row r="871">
      <c r="C871" s="7" t="n"/>
      <c r="D871" s="7" t="n"/>
      <c r="G871" s="2" t="n"/>
      <c r="H871" s="12" t="n"/>
    </row>
    <row r="872">
      <c r="C872" s="7" t="n"/>
      <c r="D872" s="7" t="n"/>
      <c r="G872" s="2" t="n"/>
      <c r="H872" s="12" t="n"/>
    </row>
    <row r="873">
      <c r="C873" s="7" t="n"/>
      <c r="D873" s="7" t="n"/>
      <c r="G873" s="2" t="n"/>
      <c r="H873" s="12" t="n"/>
    </row>
    <row r="874">
      <c r="C874" s="7" t="n"/>
      <c r="D874" s="7" t="n"/>
      <c r="G874" s="2" t="n"/>
      <c r="H874" s="12" t="n"/>
    </row>
    <row r="875">
      <c r="C875" s="7" t="n"/>
      <c r="D875" s="7" t="n"/>
      <c r="G875" s="2" t="n"/>
      <c r="H875" s="12" t="n"/>
    </row>
    <row r="876">
      <c r="C876" s="7" t="n"/>
      <c r="D876" s="7" t="n"/>
      <c r="G876" s="2" t="n"/>
      <c r="H876" s="12" t="n"/>
    </row>
    <row r="877">
      <c r="C877" s="7" t="n"/>
      <c r="D877" s="7" t="n"/>
      <c r="G877" s="2" t="n"/>
      <c r="H877" s="12" t="n"/>
    </row>
    <row r="878">
      <c r="C878" s="7" t="n"/>
      <c r="D878" s="7" t="n"/>
      <c r="G878" s="2" t="n"/>
      <c r="H878" s="12" t="n"/>
    </row>
    <row r="879">
      <c r="C879" s="7" t="n"/>
      <c r="D879" s="7" t="n"/>
      <c r="G879" s="2" t="n"/>
      <c r="H879" s="12" t="n"/>
    </row>
    <row r="880">
      <c r="C880" s="7" t="n"/>
      <c r="D880" s="7" t="n"/>
      <c r="G880" s="2" t="n"/>
      <c r="H880" s="12" t="n"/>
    </row>
    <row r="881">
      <c r="C881" s="7" t="n"/>
      <c r="D881" s="7" t="n"/>
      <c r="G881" s="2" t="n"/>
      <c r="H881" s="12" t="n"/>
    </row>
    <row r="882">
      <c r="C882" s="7" t="n"/>
      <c r="D882" s="7" t="n"/>
      <c r="G882" s="2" t="n"/>
      <c r="H882" s="12" t="n"/>
    </row>
    <row r="883">
      <c r="C883" s="7" t="n"/>
      <c r="D883" s="7" t="n"/>
      <c r="G883" s="2" t="n"/>
      <c r="H883" s="12" t="n"/>
    </row>
    <row r="884">
      <c r="C884" s="7" t="n"/>
      <c r="D884" s="7" t="n"/>
      <c r="G884" s="2" t="n"/>
      <c r="H884" s="12" t="n"/>
    </row>
    <row r="885">
      <c r="C885" s="7" t="n"/>
      <c r="D885" s="7" t="n"/>
      <c r="G885" s="2" t="n"/>
      <c r="H885" s="12" t="n"/>
    </row>
    <row r="886">
      <c r="C886" s="7" t="n"/>
      <c r="D886" s="7" t="n"/>
      <c r="G886" s="2" t="n"/>
      <c r="H886" s="12" t="n"/>
    </row>
    <row r="887">
      <c r="C887" s="7" t="n"/>
      <c r="D887" s="7" t="n"/>
      <c r="G887" s="2" t="n"/>
      <c r="H887" s="12" t="n"/>
    </row>
    <row r="888">
      <c r="C888" s="7" t="n"/>
      <c r="D888" s="7" t="n"/>
      <c r="G888" s="2" t="n"/>
      <c r="H888" s="12" t="n"/>
    </row>
    <row r="889">
      <c r="C889" s="7" t="n"/>
      <c r="D889" s="7" t="n"/>
      <c r="G889" s="2" t="n"/>
      <c r="H889" s="12" t="n"/>
    </row>
    <row r="890">
      <c r="C890" s="7" t="n"/>
      <c r="D890" s="7" t="n"/>
      <c r="G890" s="2" t="n"/>
      <c r="H890" s="12" t="n"/>
    </row>
    <row r="891">
      <c r="C891" s="7" t="n"/>
      <c r="D891" s="7" t="n"/>
      <c r="G891" s="2" t="n"/>
      <c r="H891" s="12" t="n"/>
    </row>
    <row r="892">
      <c r="C892" s="7" t="n"/>
      <c r="D892" s="7" t="n"/>
      <c r="G892" s="2" t="n"/>
      <c r="H892" s="12" t="n"/>
    </row>
    <row r="893">
      <c r="C893" s="7" t="n"/>
      <c r="D893" s="7" t="n"/>
      <c r="G893" s="2" t="n"/>
      <c r="H893" s="12" t="n"/>
    </row>
    <row r="894">
      <c r="C894" s="7" t="n"/>
      <c r="D894" s="7" t="n"/>
      <c r="G894" s="2" t="n"/>
      <c r="H894" s="12" t="n"/>
    </row>
    <row r="895">
      <c r="C895" s="7" t="n"/>
      <c r="D895" s="7" t="n"/>
      <c r="G895" s="2" t="n"/>
      <c r="H895" s="12" t="n"/>
    </row>
    <row r="896">
      <c r="C896" s="7" t="n"/>
      <c r="D896" s="7" t="n"/>
      <c r="G896" s="2" t="n"/>
      <c r="H896" s="12" t="n"/>
    </row>
    <row r="897">
      <c r="C897" s="7" t="n"/>
      <c r="D897" s="7" t="n"/>
      <c r="G897" s="2" t="n"/>
      <c r="H897" s="12" t="n"/>
    </row>
    <row r="898">
      <c r="C898" s="7" t="n"/>
      <c r="D898" s="7" t="n"/>
      <c r="G898" s="2" t="n"/>
      <c r="H898" s="12" t="n"/>
    </row>
    <row r="899">
      <c r="C899" s="7" t="n"/>
      <c r="D899" s="7" t="n"/>
      <c r="G899" s="2" t="n"/>
      <c r="H899" s="12" t="n"/>
    </row>
    <row r="900">
      <c r="C900" s="7" t="n"/>
      <c r="D900" s="7" t="n"/>
      <c r="G900" s="2" t="n"/>
      <c r="H900" s="12" t="n"/>
    </row>
    <row r="901">
      <c r="C901" s="7" t="n"/>
      <c r="D901" s="7" t="n"/>
      <c r="G901" s="2" t="n"/>
      <c r="H901" s="12" t="n"/>
    </row>
    <row r="902">
      <c r="C902" s="7" t="n"/>
      <c r="D902" s="7" t="n"/>
      <c r="G902" s="2" t="n"/>
      <c r="H902" s="12" t="n"/>
    </row>
    <row r="903">
      <c r="C903" s="7" t="n"/>
      <c r="D903" s="7" t="n"/>
      <c r="G903" s="2" t="n"/>
      <c r="H903" s="12" t="n"/>
    </row>
    <row r="904">
      <c r="C904" s="7" t="n"/>
      <c r="D904" s="7" t="n"/>
      <c r="G904" s="2" t="n"/>
      <c r="H904" s="12" t="n"/>
    </row>
    <row r="905">
      <c r="C905" s="7" t="n"/>
      <c r="D905" s="7" t="n"/>
      <c r="G905" s="2" t="n"/>
      <c r="H905" s="12" t="n"/>
    </row>
    <row r="906">
      <c r="C906" s="7" t="n"/>
      <c r="D906" s="7" t="n"/>
      <c r="G906" s="2" t="n"/>
      <c r="H906" s="12" t="n"/>
    </row>
    <row r="907">
      <c r="C907" s="7" t="n"/>
      <c r="D907" s="7" t="n"/>
      <c r="G907" s="2" t="n"/>
      <c r="H907" s="12" t="n"/>
    </row>
    <row r="908">
      <c r="C908" s="7" t="n"/>
      <c r="D908" s="7" t="n"/>
      <c r="G908" s="2" t="n"/>
      <c r="H908" s="12" t="n"/>
    </row>
    <row r="909">
      <c r="C909" s="7" t="n"/>
      <c r="D909" s="7" t="n"/>
      <c r="G909" s="2" t="n"/>
      <c r="H909" s="12" t="n"/>
    </row>
    <row r="910">
      <c r="C910" s="7" t="n"/>
      <c r="D910" s="7" t="n"/>
      <c r="G910" s="2" t="n"/>
      <c r="H910" s="12" t="n"/>
    </row>
    <row r="911">
      <c r="C911" s="7" t="n"/>
      <c r="D911" s="7" t="n"/>
      <c r="G911" s="2" t="n"/>
      <c r="H911" s="12" t="n"/>
    </row>
    <row r="912">
      <c r="C912" s="7" t="n"/>
      <c r="D912" s="7" t="n"/>
      <c r="G912" s="2" t="n"/>
      <c r="H912" s="12" t="n"/>
    </row>
  </sheetData>
  <conditionalFormatting sqref="H1:H1048576">
    <cfRule type="cellIs" priority="3" operator="greaterThan" dxfId="1">
      <formula>0.0416550925925926</formula>
    </cfRule>
    <cfRule type="cellIs" priority="2" operator="greaterThan" dxfId="0">
      <formula>0.0833333</formula>
    </cfRule>
  </conditionalFormatting>
  <conditionalFormatting sqref="A2:A1048576">
    <cfRule type="duplicateValues" priority="5" dxfId="4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5"/>
  <sheetViews>
    <sheetView topLeftCell="A283" workbookViewId="0">
      <selection activeCell="G69" sqref="G69"/>
    </sheetView>
  </sheetViews>
  <sheetFormatPr baseColWidth="8" defaultRowHeight="15"/>
  <cols>
    <col width="11.140625" customWidth="1" min="1" max="1"/>
    <col width="12.5703125" customWidth="1" min="2" max="2"/>
    <col width="24" customWidth="1" style="7" min="3" max="3"/>
    <col width="21" customWidth="1" style="7" min="4" max="4"/>
    <col width="29.42578125" bestFit="1" customWidth="1" min="5" max="5"/>
    <col width="11.85546875" bestFit="1" customWidth="1" min="6" max="6"/>
    <col width="12.7109375" bestFit="1" customWidth="1" min="7" max="7"/>
    <col width="62.140625" bestFit="1" customWidth="1" min="8" max="8"/>
  </cols>
  <sheetData>
    <row r="1" ht="29.25" customHeight="1">
      <c r="A1" s="47" t="inlineStr">
        <is>
          <t>ID</t>
        </is>
      </c>
      <c r="B1" s="47" t="inlineStr">
        <is>
          <t>Solicitud</t>
        </is>
      </c>
      <c r="C1" s="48" t="inlineStr">
        <is>
          <t>Creación</t>
        </is>
      </c>
      <c r="D1" s="48" t="inlineStr">
        <is>
          <t>Respuesta</t>
        </is>
      </c>
      <c r="E1" s="47" t="inlineStr">
        <is>
          <t>Gestor</t>
        </is>
      </c>
      <c r="F1" s="47" t="inlineStr">
        <is>
          <t>Estado</t>
        </is>
      </c>
      <c r="G1" s="47" t="inlineStr">
        <is>
          <t>Condición</t>
        </is>
      </c>
      <c r="H1" s="47" t="inlineStr">
        <is>
          <t>Situación solicitud</t>
        </is>
      </c>
    </row>
    <row r="2">
      <c r="C2" s="7" t="n"/>
      <c r="D2" s="7" t="n"/>
    </row>
    <row r="3">
      <c r="C3" s="7" t="n"/>
      <c r="D3" s="7" t="n"/>
    </row>
    <row r="4">
      <c r="C4" s="7" t="n"/>
      <c r="D4" s="7" t="n"/>
    </row>
    <row r="5">
      <c r="C5" s="7" t="n"/>
      <c r="D5" s="7" t="n"/>
    </row>
    <row r="6">
      <c r="C6" s="7" t="n"/>
      <c r="D6" s="7" t="n"/>
    </row>
    <row r="7">
      <c r="C7" s="7" t="n"/>
      <c r="D7" s="7" t="n"/>
    </row>
    <row r="8">
      <c r="C8" s="7" t="n"/>
      <c r="D8" s="7" t="n"/>
    </row>
    <row r="9">
      <c r="C9" s="7" t="n"/>
      <c r="D9" s="7" t="n"/>
    </row>
    <row r="10">
      <c r="C10" s="7" t="n"/>
      <c r="D10" s="7" t="n"/>
    </row>
    <row r="11">
      <c r="C11" s="7" t="n"/>
      <c r="D11" s="7" t="n"/>
    </row>
    <row r="12">
      <c r="C12" s="7" t="n"/>
      <c r="D12" s="7" t="n"/>
    </row>
    <row r="13">
      <c r="C13" s="7" t="n"/>
      <c r="D13" s="7" t="n"/>
    </row>
    <row r="14">
      <c r="C14" s="7" t="n"/>
      <c r="D14" s="7" t="n"/>
    </row>
    <row r="15">
      <c r="C15" s="7" t="n"/>
      <c r="D15" s="7" t="n"/>
    </row>
    <row r="16">
      <c r="C16" s="7" t="n"/>
      <c r="D16" s="7" t="n"/>
    </row>
    <row r="17">
      <c r="C17" s="7" t="n"/>
      <c r="D17" s="7" t="n"/>
    </row>
    <row r="18">
      <c r="C18" s="7" t="n"/>
      <c r="D18" s="7" t="n"/>
    </row>
    <row r="19">
      <c r="C19" s="7" t="n"/>
      <c r="D19" s="7" t="n"/>
    </row>
    <row r="20">
      <c r="C20" s="7" t="n"/>
      <c r="D20" s="7" t="n"/>
    </row>
    <row r="21">
      <c r="C21" s="7" t="n"/>
      <c r="D21" s="7" t="n"/>
    </row>
    <row r="22">
      <c r="C22" s="7" t="n"/>
      <c r="D22" s="7" t="n"/>
    </row>
    <row r="23">
      <c r="C23" s="7" t="n"/>
      <c r="D23" s="7" t="n"/>
    </row>
    <row r="24">
      <c r="C24" s="7" t="n"/>
      <c r="D24" s="7" t="n"/>
    </row>
    <row r="25">
      <c r="C25" s="7" t="n"/>
      <c r="D25" s="7" t="n"/>
    </row>
    <row r="26">
      <c r="C26" s="7" t="n"/>
      <c r="D26" s="7" t="n"/>
    </row>
    <row r="27">
      <c r="C27" s="7" t="n"/>
      <c r="D27" s="7" t="n"/>
    </row>
    <row r="28">
      <c r="C28" s="7" t="n"/>
      <c r="D28" s="7" t="n"/>
    </row>
    <row r="29">
      <c r="C29" s="7" t="n"/>
      <c r="D29" s="7" t="n"/>
    </row>
    <row r="30">
      <c r="C30" s="7" t="n"/>
      <c r="D30" s="7" t="n"/>
    </row>
    <row r="31">
      <c r="C31" s="7" t="n"/>
      <c r="D31" s="7" t="n"/>
    </row>
    <row r="32">
      <c r="C32" s="7" t="n"/>
      <c r="D32" s="7" t="n"/>
    </row>
    <row r="33">
      <c r="C33" s="7" t="n"/>
      <c r="D33" s="7" t="n"/>
    </row>
    <row r="34">
      <c r="C34" s="7" t="n"/>
      <c r="D34" s="7" t="n"/>
    </row>
    <row r="35">
      <c r="C35" s="7" t="n"/>
      <c r="D35" s="7" t="n"/>
    </row>
    <row r="36">
      <c r="C36" s="7" t="n"/>
      <c r="D36" s="7" t="n"/>
    </row>
    <row r="37">
      <c r="C37" s="7" t="n"/>
      <c r="D37" s="7" t="n"/>
    </row>
    <row r="38">
      <c r="C38" s="7" t="n"/>
      <c r="D38" s="7" t="n"/>
    </row>
    <row r="39">
      <c r="C39" s="7" t="n"/>
      <c r="D39" s="7" t="n"/>
    </row>
    <row r="40">
      <c r="C40" s="7" t="n"/>
      <c r="D40" s="7" t="n"/>
    </row>
    <row r="41">
      <c r="C41" s="7" t="n"/>
      <c r="D41" s="7" t="n"/>
    </row>
    <row r="42">
      <c r="C42" s="7" t="n"/>
      <c r="D42" s="7" t="n"/>
    </row>
    <row r="43">
      <c r="C43" s="7" t="n"/>
      <c r="D43" s="7" t="n"/>
    </row>
    <row r="44">
      <c r="C44" s="7" t="n"/>
      <c r="D44" s="7" t="n"/>
    </row>
    <row r="45">
      <c r="C45" s="7" t="n"/>
      <c r="D45" s="7" t="n"/>
    </row>
    <row r="46">
      <c r="C46" s="7" t="n"/>
      <c r="D46" s="7" t="n"/>
    </row>
    <row r="47">
      <c r="C47" s="7" t="n"/>
      <c r="D47" s="7" t="n"/>
    </row>
    <row r="48">
      <c r="C48" s="7" t="n"/>
      <c r="D48" s="7" t="n"/>
    </row>
    <row r="49">
      <c r="C49" s="7" t="n"/>
      <c r="D49" s="7" t="n"/>
    </row>
    <row r="50">
      <c r="C50" s="7" t="n"/>
      <c r="D50" s="7" t="n"/>
    </row>
    <row r="51">
      <c r="C51" s="7" t="n"/>
      <c r="D51" s="7" t="n"/>
    </row>
    <row r="52">
      <c r="C52" s="7" t="n"/>
      <c r="D52" s="7" t="n"/>
    </row>
    <row r="53">
      <c r="C53" s="7" t="n"/>
      <c r="D53" s="7" t="n"/>
    </row>
    <row r="54">
      <c r="C54" s="7" t="n"/>
      <c r="D54" s="7" t="n"/>
    </row>
    <row r="55">
      <c r="C55" s="7" t="n"/>
      <c r="D55" s="7" t="n"/>
    </row>
    <row r="56">
      <c r="C56" s="7" t="n"/>
      <c r="D56" s="7" t="n"/>
    </row>
    <row r="57">
      <c r="C57" s="7" t="n"/>
      <c r="D57" s="7" t="n"/>
    </row>
    <row r="58">
      <c r="C58" s="7" t="n"/>
      <c r="D58" s="7" t="n"/>
    </row>
    <row r="59">
      <c r="C59" s="7" t="n"/>
      <c r="D59" s="7" t="n"/>
    </row>
    <row r="60">
      <c r="C60" s="7" t="n"/>
      <c r="D60" s="7" t="n"/>
    </row>
    <row r="61">
      <c r="C61" s="7" t="n"/>
      <c r="D61" s="7" t="n"/>
    </row>
    <row r="62">
      <c r="C62" s="7" t="n"/>
      <c r="D62" s="7" t="n"/>
    </row>
    <row r="63">
      <c r="C63" s="7" t="n"/>
      <c r="D63" s="7" t="n"/>
    </row>
    <row r="64">
      <c r="C64" s="7" t="n"/>
      <c r="D64" s="7" t="n"/>
    </row>
    <row r="65">
      <c r="C65" s="7" t="n"/>
      <c r="D65" s="7" t="n"/>
    </row>
    <row r="66">
      <c r="C66" s="7" t="n"/>
      <c r="D66" s="7" t="n"/>
    </row>
    <row r="67">
      <c r="C67" s="7" t="n"/>
      <c r="D67" s="7" t="n"/>
    </row>
    <row r="68">
      <c r="C68" s="7" t="n"/>
      <c r="D68" s="7" t="n"/>
    </row>
    <row r="69">
      <c r="C69" s="7" t="n"/>
      <c r="D69" s="7" t="n"/>
    </row>
    <row r="70">
      <c r="C70" s="7" t="n"/>
      <c r="D70" s="7" t="n"/>
    </row>
    <row r="71">
      <c r="C71" s="7" t="n"/>
      <c r="D71" s="7" t="n"/>
    </row>
    <row r="72">
      <c r="C72" s="7" t="n"/>
      <c r="D72" s="7" t="n"/>
    </row>
    <row r="73">
      <c r="C73" s="7" t="n"/>
      <c r="D73" s="7" t="n"/>
    </row>
    <row r="74">
      <c r="C74" s="7" t="n"/>
      <c r="D74" s="7" t="n"/>
    </row>
    <row r="75">
      <c r="C75" s="7" t="n"/>
      <c r="D75" s="7" t="n"/>
    </row>
    <row r="76">
      <c r="C76" s="7" t="n"/>
      <c r="D76" s="7" t="n"/>
    </row>
    <row r="77">
      <c r="C77" s="7" t="n"/>
      <c r="D77" s="7" t="n"/>
    </row>
    <row r="78">
      <c r="C78" s="7" t="n"/>
      <c r="D78" s="7" t="n"/>
    </row>
    <row r="79">
      <c r="C79" s="7" t="n"/>
      <c r="D79" s="7" t="n"/>
    </row>
    <row r="80">
      <c r="C80" s="7" t="n"/>
      <c r="D80" s="7" t="n"/>
    </row>
    <row r="81">
      <c r="C81" s="7" t="n"/>
      <c r="D81" s="7" t="n"/>
    </row>
    <row r="82">
      <c r="C82" s="7" t="n"/>
      <c r="D82" s="7" t="n"/>
    </row>
    <row r="83">
      <c r="C83" s="7" t="n"/>
      <c r="D83" s="7" t="n"/>
    </row>
    <row r="84">
      <c r="C84" s="7" t="n"/>
      <c r="D84" s="7" t="n"/>
    </row>
    <row r="85">
      <c r="C85" s="7" t="n"/>
      <c r="D85" s="7" t="n"/>
    </row>
    <row r="86">
      <c r="C86" s="7" t="n"/>
      <c r="D86" s="7" t="n"/>
    </row>
    <row r="87">
      <c r="C87" s="7" t="n"/>
      <c r="D87" s="7" t="n"/>
    </row>
    <row r="88">
      <c r="C88" s="7" t="n"/>
      <c r="D88" s="7" t="n"/>
    </row>
    <row r="89">
      <c r="C89" s="7" t="n"/>
      <c r="D89" s="7" t="n"/>
    </row>
    <row r="90">
      <c r="C90" s="7" t="n"/>
      <c r="D90" s="7" t="n"/>
    </row>
    <row r="91">
      <c r="C91" s="7" t="n"/>
      <c r="D91" s="7" t="n"/>
    </row>
    <row r="92">
      <c r="C92" s="7" t="n"/>
      <c r="D92" s="7" t="n"/>
    </row>
    <row r="93">
      <c r="C93" s="7" t="n"/>
      <c r="D93" s="7" t="n"/>
    </row>
    <row r="94">
      <c r="C94" s="7" t="n"/>
      <c r="D94" s="7" t="n"/>
    </row>
    <row r="95">
      <c r="C95" s="7" t="n"/>
      <c r="D95" s="7" t="n"/>
    </row>
    <row r="96">
      <c r="C96" s="7" t="n"/>
      <c r="D96" s="7" t="n"/>
    </row>
    <row r="97">
      <c r="C97" s="7" t="n"/>
      <c r="D97" s="7" t="n"/>
    </row>
    <row r="98">
      <c r="C98" s="7" t="n"/>
      <c r="D98" s="7" t="n"/>
    </row>
    <row r="99">
      <c r="C99" s="7" t="n"/>
      <c r="D99" s="7" t="n"/>
    </row>
    <row r="100">
      <c r="C100" s="7" t="n"/>
      <c r="D100" s="7" t="n"/>
    </row>
    <row r="101">
      <c r="C101" s="7" t="n"/>
      <c r="D101" s="7" t="n"/>
    </row>
    <row r="102">
      <c r="C102" s="7" t="n"/>
      <c r="D102" s="7" t="n"/>
    </row>
    <row r="103">
      <c r="C103" s="7" t="n"/>
      <c r="D103" s="7" t="n"/>
    </row>
    <row r="104">
      <c r="C104" s="7" t="n"/>
      <c r="D104" s="7" t="n"/>
    </row>
    <row r="105">
      <c r="C105" s="7" t="n"/>
      <c r="D105" s="7" t="n"/>
    </row>
    <row r="106">
      <c r="C106" s="7" t="n"/>
      <c r="D106" s="7" t="n"/>
    </row>
    <row r="107">
      <c r="C107" s="7" t="n"/>
      <c r="D107" s="7" t="n"/>
    </row>
    <row r="108">
      <c r="C108" s="7" t="n"/>
      <c r="D108" s="7" t="n"/>
    </row>
    <row r="109">
      <c r="C109" s="7" t="n"/>
      <c r="D109" s="7" t="n"/>
    </row>
    <row r="110">
      <c r="C110" s="7" t="n"/>
      <c r="D110" s="7" t="n"/>
    </row>
    <row r="111">
      <c r="C111" s="7" t="n"/>
      <c r="D111" s="7" t="n"/>
    </row>
    <row r="112">
      <c r="C112" s="7" t="n"/>
      <c r="D112" s="7" t="n"/>
    </row>
    <row r="113">
      <c r="C113" s="7" t="n"/>
      <c r="D113" s="7" t="n"/>
    </row>
    <row r="114">
      <c r="C114" s="7" t="n"/>
      <c r="D114" s="7" t="n"/>
    </row>
    <row r="115">
      <c r="C115" s="7" t="n"/>
      <c r="D115" s="7" t="n"/>
    </row>
    <row r="116">
      <c r="C116" s="7" t="n"/>
      <c r="D116" s="7" t="n"/>
    </row>
    <row r="117">
      <c r="C117" s="7" t="n"/>
      <c r="D117" s="7" t="n"/>
    </row>
    <row r="118">
      <c r="C118" s="7" t="n"/>
      <c r="D118" s="7" t="n"/>
    </row>
    <row r="119">
      <c r="C119" s="7" t="n"/>
      <c r="D119" s="7" t="n"/>
    </row>
    <row r="120">
      <c r="C120" s="7" t="n"/>
      <c r="D120" s="7" t="n"/>
    </row>
    <row r="121">
      <c r="C121" s="7" t="n"/>
      <c r="D121" s="7" t="n"/>
    </row>
    <row r="122">
      <c r="C122" s="7" t="n"/>
      <c r="D122" s="7" t="n"/>
    </row>
    <row r="123">
      <c r="C123" s="7" t="n"/>
      <c r="D123" s="7" t="n"/>
    </row>
    <row r="124">
      <c r="C124" s="7" t="n"/>
      <c r="D124" s="7" t="n"/>
    </row>
    <row r="125">
      <c r="C125" s="7" t="n"/>
      <c r="D125" s="7" t="n"/>
    </row>
    <row r="126">
      <c r="C126" s="7" t="n"/>
      <c r="D126" s="7" t="n"/>
    </row>
    <row r="127">
      <c r="C127" s="7" t="n"/>
      <c r="D127" s="7" t="n"/>
    </row>
    <row r="128">
      <c r="C128" s="7" t="n"/>
      <c r="D128" s="7" t="n"/>
    </row>
    <row r="129">
      <c r="C129" s="7" t="n"/>
      <c r="D129" s="7" t="n"/>
    </row>
    <row r="130">
      <c r="C130" s="7" t="n"/>
      <c r="D130" s="7" t="n"/>
    </row>
    <row r="131">
      <c r="C131" s="7" t="n"/>
      <c r="D131" s="7" t="n"/>
    </row>
    <row r="132">
      <c r="C132" s="7" t="n"/>
      <c r="D132" s="7" t="n"/>
    </row>
    <row r="133">
      <c r="C133" s="7" t="n"/>
      <c r="D133" s="7" t="n"/>
    </row>
    <row r="134">
      <c r="C134" s="7" t="n"/>
      <c r="D134" s="7" t="n"/>
    </row>
    <row r="135">
      <c r="C135" s="7" t="n"/>
      <c r="D135" s="7" t="n"/>
    </row>
    <row r="136">
      <c r="C136" s="7" t="n"/>
      <c r="D136" s="7" t="n"/>
    </row>
    <row r="137">
      <c r="C137" s="7" t="n"/>
      <c r="D137" s="7" t="n"/>
    </row>
    <row r="138">
      <c r="C138" s="7" t="n"/>
      <c r="D138" s="7" t="n"/>
    </row>
    <row r="139">
      <c r="C139" s="7" t="n"/>
      <c r="D139" s="7" t="n"/>
    </row>
    <row r="140">
      <c r="C140" s="7" t="n"/>
      <c r="D140" s="7" t="n"/>
    </row>
    <row r="141">
      <c r="C141" s="7" t="n"/>
      <c r="D141" s="7" t="n"/>
    </row>
    <row r="142">
      <c r="C142" s="7" t="n"/>
      <c r="D142" s="7" t="n"/>
    </row>
    <row r="143">
      <c r="C143" s="7" t="n"/>
      <c r="D143" s="7" t="n"/>
    </row>
    <row r="144">
      <c r="C144" s="7" t="n"/>
      <c r="D144" s="7" t="n"/>
    </row>
    <row r="145">
      <c r="C145" s="7" t="n"/>
      <c r="D145" s="7" t="n"/>
    </row>
    <row r="146">
      <c r="C146" s="7" t="n"/>
      <c r="D146" s="7" t="n"/>
    </row>
    <row r="147">
      <c r="C147" s="7" t="n"/>
      <c r="D147" s="7" t="n"/>
    </row>
    <row r="148">
      <c r="C148" s="7" t="n"/>
      <c r="D148" s="7" t="n"/>
    </row>
    <row r="149">
      <c r="C149" s="7" t="n"/>
      <c r="D149" s="7" t="n"/>
    </row>
    <row r="150">
      <c r="C150" s="7" t="n"/>
      <c r="D150" s="7" t="n"/>
    </row>
    <row r="151">
      <c r="C151" s="7" t="n"/>
      <c r="D151" s="7" t="n"/>
    </row>
    <row r="152">
      <c r="C152" s="7" t="n"/>
      <c r="D152" s="7" t="n"/>
    </row>
    <row r="153">
      <c r="C153" s="7" t="n"/>
      <c r="D153" s="7" t="n"/>
    </row>
    <row r="154">
      <c r="C154" s="7" t="n"/>
      <c r="D154" s="7" t="n"/>
    </row>
    <row r="155">
      <c r="C155" s="7" t="n"/>
      <c r="D155" s="7" t="n"/>
    </row>
    <row r="156">
      <c r="C156" s="7" t="n"/>
      <c r="D156" s="7" t="n"/>
    </row>
    <row r="157">
      <c r="C157" s="7" t="n"/>
      <c r="D157" s="7" t="n"/>
    </row>
    <row r="158">
      <c r="C158" s="7" t="n"/>
      <c r="D158" s="7" t="n"/>
    </row>
    <row r="159">
      <c r="C159" s="7" t="n"/>
      <c r="D159" s="7" t="n"/>
    </row>
    <row r="160">
      <c r="C160" s="7" t="n"/>
      <c r="D160" s="7" t="n"/>
    </row>
    <row r="161">
      <c r="C161" s="7" t="n"/>
      <c r="D161" s="7" t="n"/>
    </row>
    <row r="162">
      <c r="C162" s="7" t="n"/>
      <c r="D162" s="7" t="n"/>
    </row>
    <row r="163">
      <c r="C163" s="7" t="n"/>
      <c r="D163" s="7" t="n"/>
    </row>
    <row r="164">
      <c r="C164" s="7" t="n"/>
      <c r="D164" s="7" t="n"/>
    </row>
    <row r="165">
      <c r="C165" s="7" t="n"/>
      <c r="D165" s="7" t="n"/>
    </row>
    <row r="166">
      <c r="C166" s="7" t="n"/>
      <c r="D166" s="7" t="n"/>
    </row>
    <row r="167">
      <c r="C167" s="7" t="n"/>
      <c r="D167" s="7" t="n"/>
    </row>
    <row r="168">
      <c r="C168" s="7" t="n"/>
      <c r="D168" s="7" t="n"/>
    </row>
    <row r="169">
      <c r="C169" s="7" t="n"/>
      <c r="D169" s="7" t="n"/>
    </row>
    <row r="170">
      <c r="C170" s="7" t="n"/>
      <c r="D170" s="7" t="n"/>
    </row>
    <row r="171">
      <c r="C171" s="7" t="n"/>
      <c r="D171" s="7" t="n"/>
    </row>
    <row r="172">
      <c r="C172" s="7" t="n"/>
      <c r="D172" s="7" t="n"/>
    </row>
    <row r="173">
      <c r="C173" s="7" t="n"/>
      <c r="D173" s="7" t="n"/>
    </row>
    <row r="174">
      <c r="C174" s="7" t="n"/>
      <c r="D174" s="7" t="n"/>
    </row>
    <row r="175">
      <c r="C175" s="7" t="n"/>
      <c r="D175" s="7" t="n"/>
    </row>
    <row r="176">
      <c r="C176" s="7" t="n"/>
      <c r="D176" s="7" t="n"/>
    </row>
    <row r="177">
      <c r="C177" s="7" t="n"/>
      <c r="D177" s="7" t="n"/>
    </row>
    <row r="178">
      <c r="C178" s="7" t="n"/>
      <c r="D178" s="7" t="n"/>
    </row>
    <row r="179">
      <c r="C179" s="7" t="n"/>
      <c r="D179" s="7" t="n"/>
    </row>
    <row r="180">
      <c r="C180" s="7" t="n"/>
      <c r="D180" s="7" t="n"/>
    </row>
    <row r="181">
      <c r="C181" s="7" t="n"/>
      <c r="D181" s="7" t="n"/>
    </row>
    <row r="182">
      <c r="C182" s="7" t="n"/>
      <c r="D182" s="7" t="n"/>
    </row>
    <row r="183">
      <c r="C183" s="7" t="n"/>
      <c r="D183" s="7" t="n"/>
    </row>
    <row r="184">
      <c r="C184" s="7" t="n"/>
      <c r="D184" s="7" t="n"/>
    </row>
    <row r="185">
      <c r="C185" s="7" t="n"/>
      <c r="D185" s="7" t="n"/>
    </row>
    <row r="186">
      <c r="C186" s="7" t="n"/>
      <c r="D186" s="7" t="n"/>
    </row>
    <row r="187">
      <c r="C187" s="7" t="n"/>
      <c r="D187" s="7" t="n"/>
    </row>
    <row r="188">
      <c r="C188" s="7" t="n"/>
      <c r="D188" s="7" t="n"/>
    </row>
    <row r="189">
      <c r="C189" s="7" t="n"/>
      <c r="D189" s="7" t="n"/>
    </row>
    <row r="190">
      <c r="C190" s="7" t="n"/>
      <c r="D190" s="7" t="n"/>
    </row>
    <row r="191">
      <c r="C191" s="7" t="n"/>
      <c r="D191" s="7" t="n"/>
    </row>
    <row r="192">
      <c r="C192" s="7" t="n"/>
      <c r="D192" s="7" t="n"/>
    </row>
    <row r="193">
      <c r="C193" s="7" t="n"/>
      <c r="D193" s="7" t="n"/>
    </row>
    <row r="194">
      <c r="C194" s="7" t="n"/>
      <c r="D194" s="7" t="n"/>
    </row>
    <row r="195">
      <c r="C195" s="7" t="n"/>
      <c r="D195" s="7" t="n"/>
    </row>
    <row r="196">
      <c r="C196" s="7" t="n"/>
      <c r="D196" s="7" t="n"/>
    </row>
    <row r="197">
      <c r="C197" s="7" t="n"/>
      <c r="D197" s="7" t="n"/>
    </row>
    <row r="198">
      <c r="C198" s="7" t="n"/>
      <c r="D198" s="7" t="n"/>
    </row>
    <row r="199">
      <c r="C199" s="7" t="n"/>
      <c r="D199" s="7" t="n"/>
    </row>
    <row r="200">
      <c r="C200" s="7" t="n"/>
      <c r="D200" s="7" t="n"/>
    </row>
    <row r="201">
      <c r="C201" s="7" t="n"/>
      <c r="D201" s="7" t="n"/>
    </row>
    <row r="202">
      <c r="C202" s="7" t="n"/>
      <c r="D202" s="7" t="n"/>
    </row>
    <row r="203">
      <c r="C203" s="7" t="n"/>
      <c r="D203" s="7" t="n"/>
    </row>
    <row r="204">
      <c r="C204" s="7" t="n"/>
      <c r="D204" s="7" t="n"/>
    </row>
    <row r="205">
      <c r="C205" s="7" t="n"/>
      <c r="D205" s="7" t="n"/>
    </row>
    <row r="206">
      <c r="C206" s="7" t="n"/>
      <c r="D206" s="7" t="n"/>
    </row>
    <row r="207">
      <c r="C207" s="7" t="n"/>
      <c r="D207" s="7" t="n"/>
    </row>
    <row r="208">
      <c r="C208" s="7" t="n"/>
      <c r="D208" s="7" t="n"/>
    </row>
    <row r="209">
      <c r="C209" s="7" t="n"/>
      <c r="D209" s="7" t="n"/>
    </row>
    <row r="210">
      <c r="C210" s="7" t="n"/>
      <c r="D210" s="7" t="n"/>
    </row>
    <row r="211">
      <c r="C211" s="7" t="n"/>
      <c r="D211" s="7" t="n"/>
    </row>
    <row r="212">
      <c r="C212" s="7" t="n"/>
      <c r="D212" s="7" t="n"/>
    </row>
    <row r="213">
      <c r="C213" s="7" t="n"/>
      <c r="D213" s="7" t="n"/>
    </row>
    <row r="214">
      <c r="C214" s="7" t="n"/>
      <c r="D214" s="7" t="n"/>
    </row>
    <row r="215">
      <c r="C215" s="7" t="n"/>
      <c r="D215" s="7" t="n"/>
    </row>
    <row r="216">
      <c r="C216" s="7" t="n"/>
      <c r="D216" s="7" t="n"/>
    </row>
    <row r="217">
      <c r="C217" s="7" t="n"/>
      <c r="D217" s="7" t="n"/>
    </row>
    <row r="218">
      <c r="C218" s="7" t="n"/>
      <c r="D218" s="7" t="n"/>
    </row>
    <row r="219">
      <c r="C219" s="7" t="n"/>
      <c r="D219" s="7" t="n"/>
    </row>
    <row r="220">
      <c r="C220" s="7" t="n"/>
      <c r="D220" s="7" t="n"/>
    </row>
    <row r="221">
      <c r="C221" s="7" t="n"/>
      <c r="D221" s="7" t="n"/>
    </row>
    <row r="222">
      <c r="C222" s="7" t="n"/>
      <c r="D222" s="7" t="n"/>
    </row>
    <row r="223">
      <c r="C223" s="7" t="n"/>
      <c r="D223" s="7" t="n"/>
    </row>
    <row r="224">
      <c r="C224" s="7" t="n"/>
      <c r="D224" s="7" t="n"/>
    </row>
    <row r="225">
      <c r="C225" s="7" t="n"/>
      <c r="D225" s="7" t="n"/>
    </row>
    <row r="226">
      <c r="C226" s="7" t="n"/>
      <c r="D226" s="7" t="n"/>
    </row>
    <row r="227">
      <c r="C227" s="7" t="n"/>
      <c r="D227" s="7" t="n"/>
    </row>
    <row r="228">
      <c r="C228" s="7" t="n"/>
      <c r="D228" s="7" t="n"/>
    </row>
    <row r="229">
      <c r="C229" s="7" t="n"/>
      <c r="D229" s="7" t="n"/>
    </row>
    <row r="230">
      <c r="C230" s="7" t="n"/>
      <c r="D230" s="7" t="n"/>
    </row>
    <row r="231">
      <c r="C231" s="7" t="n"/>
      <c r="D231" s="7" t="n"/>
    </row>
    <row r="232">
      <c r="C232" s="7" t="n"/>
      <c r="D232" s="7" t="n"/>
    </row>
    <row r="233">
      <c r="C233" s="7" t="n"/>
      <c r="D233" s="7" t="n"/>
    </row>
    <row r="234">
      <c r="C234" s="7" t="n"/>
      <c r="D234" s="7" t="n"/>
    </row>
    <row r="235">
      <c r="C235" s="7" t="n"/>
      <c r="D235" s="7" t="n"/>
    </row>
    <row r="236">
      <c r="C236" s="7" t="n"/>
      <c r="D236" s="7" t="n"/>
    </row>
    <row r="237">
      <c r="C237" s="7" t="n"/>
      <c r="D237" s="7" t="n"/>
    </row>
    <row r="238">
      <c r="C238" s="7" t="n"/>
      <c r="D238" s="7" t="n"/>
    </row>
    <row r="239">
      <c r="C239" s="7" t="n"/>
      <c r="D239" s="7" t="n"/>
    </row>
    <row r="240">
      <c r="C240" s="7" t="n"/>
      <c r="D240" s="7" t="n"/>
    </row>
    <row r="241">
      <c r="C241" s="7" t="n"/>
      <c r="D241" s="7" t="n"/>
    </row>
    <row r="242">
      <c r="C242" s="7" t="n"/>
      <c r="D242" s="7" t="n"/>
    </row>
    <row r="243">
      <c r="C243" s="7" t="n"/>
      <c r="D243" s="7" t="n"/>
    </row>
    <row r="244">
      <c r="C244" s="7" t="n"/>
      <c r="D244" s="7" t="n"/>
    </row>
    <row r="245">
      <c r="C245" s="7" t="n"/>
      <c r="D245" s="7" t="n"/>
    </row>
    <row r="246">
      <c r="C246" s="7" t="n"/>
      <c r="D246" s="7" t="n"/>
    </row>
    <row r="247">
      <c r="C247" s="7" t="n"/>
      <c r="D247" s="7" t="n"/>
    </row>
    <row r="248">
      <c r="C248" s="7" t="n"/>
      <c r="D248" s="7" t="n"/>
    </row>
    <row r="249">
      <c r="C249" s="7" t="n"/>
      <c r="D249" s="7" t="n"/>
    </row>
    <row r="250">
      <c r="C250" s="7" t="n"/>
      <c r="D250" s="7" t="n"/>
    </row>
    <row r="251">
      <c r="C251" s="7" t="n"/>
      <c r="D251" s="7" t="n"/>
    </row>
    <row r="252">
      <c r="C252" s="7" t="n"/>
      <c r="D252" s="7" t="n"/>
    </row>
    <row r="253">
      <c r="C253" s="7" t="n"/>
      <c r="D253" s="7" t="n"/>
    </row>
    <row r="254">
      <c r="C254" s="7" t="n"/>
      <c r="D254" s="7" t="n"/>
    </row>
    <row r="255">
      <c r="C255" s="7" t="n"/>
      <c r="D255" s="7" t="n"/>
    </row>
    <row r="256">
      <c r="C256" s="7" t="n"/>
      <c r="D256" s="7" t="n"/>
    </row>
    <row r="257">
      <c r="C257" s="7" t="n"/>
      <c r="D257" s="7" t="n"/>
    </row>
    <row r="258">
      <c r="C258" s="7" t="n"/>
      <c r="D258" s="7" t="n"/>
    </row>
    <row r="259">
      <c r="C259" s="7" t="n"/>
      <c r="D259" s="7" t="n"/>
    </row>
    <row r="260">
      <c r="C260" s="7" t="n"/>
      <c r="D260" s="7" t="n"/>
    </row>
    <row r="261">
      <c r="C261" s="7" t="n"/>
      <c r="D261" s="7" t="n"/>
    </row>
    <row r="262">
      <c r="C262" s="7" t="n"/>
      <c r="D262" s="7" t="n"/>
    </row>
    <row r="263">
      <c r="C263" s="7" t="n"/>
      <c r="D263" s="7" t="n"/>
    </row>
    <row r="264">
      <c r="C264" s="7" t="n"/>
      <c r="D264" s="7" t="n"/>
    </row>
    <row r="265">
      <c r="C265" s="7" t="n"/>
      <c r="D265" s="7" t="n"/>
    </row>
    <row r="266">
      <c r="C266" s="7" t="n"/>
      <c r="D266" s="7" t="n"/>
    </row>
    <row r="267">
      <c r="C267" s="7" t="n"/>
      <c r="D267" s="7" t="n"/>
    </row>
    <row r="268">
      <c r="C268" s="7" t="n"/>
      <c r="D268" s="7" t="n"/>
    </row>
    <row r="269">
      <c r="C269" s="7" t="n"/>
      <c r="D269" s="7" t="n"/>
    </row>
    <row r="270">
      <c r="C270" s="7" t="n"/>
      <c r="D270" s="7" t="n"/>
    </row>
    <row r="271">
      <c r="C271" s="7" t="n"/>
      <c r="D271" s="7" t="n"/>
    </row>
    <row r="272">
      <c r="C272" s="7" t="n"/>
      <c r="D272" s="7" t="n"/>
    </row>
    <row r="273">
      <c r="C273" s="7" t="n"/>
      <c r="D273" s="7" t="n"/>
    </row>
    <row r="274">
      <c r="C274" s="7" t="n"/>
      <c r="D274" s="7" t="n"/>
    </row>
    <row r="275">
      <c r="C275" s="7" t="n"/>
      <c r="D275" s="7" t="n"/>
    </row>
    <row r="276">
      <c r="C276" s="7" t="n"/>
      <c r="D276" s="7" t="n"/>
    </row>
    <row r="277">
      <c r="C277" s="7" t="n"/>
      <c r="D277" s="7" t="n"/>
    </row>
    <row r="278">
      <c r="C278" s="7" t="n"/>
      <c r="D278" s="7" t="n"/>
    </row>
    <row r="279">
      <c r="C279" s="7" t="n"/>
      <c r="D279" s="7" t="n"/>
    </row>
    <row r="280">
      <c r="C280" s="7" t="n"/>
      <c r="D280" s="7" t="n"/>
    </row>
    <row r="281">
      <c r="C281" s="7" t="n"/>
      <c r="D281" s="7" t="n"/>
    </row>
    <row r="282">
      <c r="C282" s="7" t="n"/>
      <c r="D282" s="7" t="n"/>
    </row>
    <row r="283">
      <c r="C283" s="7" t="n"/>
      <c r="D283" s="7" t="n"/>
    </row>
    <row r="284">
      <c r="C284" s="7" t="n"/>
      <c r="D284" s="7" t="n"/>
    </row>
    <row r="285">
      <c r="C285" s="7" t="n"/>
      <c r="D285" s="7" t="n"/>
    </row>
    <row r="286">
      <c r="C286" s="7" t="n"/>
      <c r="D286" s="7" t="n"/>
    </row>
    <row r="287">
      <c r="C287" s="7" t="n"/>
      <c r="D287" s="7" t="n"/>
    </row>
    <row r="288">
      <c r="C288" s="7" t="n"/>
      <c r="D288" s="7" t="n"/>
    </row>
    <row r="289">
      <c r="C289" s="7" t="n"/>
      <c r="D289" s="7" t="n"/>
    </row>
    <row r="290">
      <c r="C290" s="7" t="n"/>
      <c r="D290" s="7" t="n"/>
    </row>
    <row r="291">
      <c r="C291" s="7" t="n"/>
      <c r="D291" s="7" t="n"/>
    </row>
    <row r="292">
      <c r="C292" s="7" t="n"/>
      <c r="D292" s="7" t="n"/>
    </row>
    <row r="293">
      <c r="C293" s="7" t="n"/>
      <c r="D293" s="7" t="n"/>
    </row>
    <row r="294">
      <c r="C294" s="7" t="n"/>
      <c r="D294" s="7" t="n"/>
    </row>
    <row r="295">
      <c r="C295" s="7" t="n"/>
      <c r="D295" s="7" t="n"/>
    </row>
    <row r="296">
      <c r="C296" s="7" t="n"/>
      <c r="D296" s="7" t="n"/>
    </row>
    <row r="297">
      <c r="C297" s="7" t="n"/>
      <c r="D297" s="7" t="n"/>
    </row>
    <row r="298">
      <c r="C298" s="7" t="n"/>
      <c r="D298" s="7" t="n"/>
    </row>
    <row r="299">
      <c r="C299" s="7" t="n"/>
      <c r="D299" s="7" t="n"/>
    </row>
    <row r="300">
      <c r="C300" s="7" t="n"/>
      <c r="D300" s="7" t="n"/>
    </row>
    <row r="301">
      <c r="C301" s="7" t="n"/>
      <c r="D301" s="7" t="n"/>
    </row>
    <row r="302">
      <c r="C302" s="7" t="n"/>
      <c r="D302" s="7" t="n"/>
    </row>
    <row r="303">
      <c r="C303" s="7" t="n"/>
      <c r="D303" s="7" t="n"/>
    </row>
    <row r="304">
      <c r="C304" s="7" t="n"/>
      <c r="D304" s="7" t="n"/>
    </row>
    <row r="305">
      <c r="C305" s="7" t="n"/>
      <c r="D305" s="7" t="n"/>
    </row>
    <row r="306">
      <c r="C306" s="7" t="n"/>
      <c r="D306" s="7" t="n"/>
    </row>
    <row r="307">
      <c r="C307" s="7" t="n"/>
      <c r="D307" s="7" t="n"/>
    </row>
    <row r="308">
      <c r="C308" s="7" t="n"/>
      <c r="D308" s="7" t="n"/>
    </row>
    <row r="309">
      <c r="C309" s="7" t="n"/>
      <c r="D309" s="7" t="n"/>
    </row>
    <row r="310">
      <c r="C310" s="7" t="n"/>
      <c r="D310" s="7" t="n"/>
    </row>
    <row r="311">
      <c r="C311" s="7" t="n"/>
      <c r="D311" s="7" t="n"/>
    </row>
    <row r="312">
      <c r="C312" s="7" t="n"/>
      <c r="D312" s="7" t="n"/>
    </row>
    <row r="313">
      <c r="C313" s="7" t="n"/>
      <c r="D313" s="7" t="n"/>
    </row>
    <row r="314">
      <c r="C314" s="7" t="n"/>
      <c r="D314" s="7" t="n"/>
    </row>
    <row r="315">
      <c r="C315" s="7" t="n"/>
      <c r="D315" s="7" t="n"/>
    </row>
    <row r="316">
      <c r="C316" s="7" t="n"/>
      <c r="D316" s="7" t="n"/>
    </row>
    <row r="317">
      <c r="C317" s="7" t="n"/>
      <c r="D317" s="7" t="n"/>
    </row>
    <row r="318">
      <c r="C318" s="7" t="n"/>
      <c r="D318" s="7" t="n"/>
    </row>
    <row r="319">
      <c r="C319" s="7" t="n"/>
      <c r="D319" s="7" t="n"/>
    </row>
    <row r="320">
      <c r="C320" s="7" t="n"/>
      <c r="D320" s="7" t="n"/>
    </row>
    <row r="321">
      <c r="C321" s="7" t="n"/>
      <c r="D321" s="7" t="n"/>
    </row>
    <row r="322">
      <c r="C322" s="7" t="n"/>
      <c r="D322" s="7" t="n"/>
    </row>
    <row r="323">
      <c r="C323" s="7" t="n"/>
      <c r="D323" s="7" t="n"/>
    </row>
    <row r="324">
      <c r="C324" s="7" t="n"/>
      <c r="D324" s="7" t="n"/>
    </row>
    <row r="325">
      <c r="C325" s="7" t="n"/>
      <c r="D325" s="7" t="n"/>
    </row>
    <row r="326">
      <c r="C326" s="7" t="n"/>
      <c r="D326" s="7" t="n"/>
    </row>
    <row r="327">
      <c r="C327" s="7" t="n"/>
      <c r="D327" s="7" t="n"/>
    </row>
    <row r="328">
      <c r="C328" s="7" t="n"/>
      <c r="D328" s="7" t="n"/>
    </row>
    <row r="329">
      <c r="C329" s="7" t="n"/>
      <c r="D329" s="7" t="n"/>
    </row>
    <row r="330">
      <c r="C330" s="7" t="n"/>
      <c r="D330" s="7" t="n"/>
    </row>
    <row r="331">
      <c r="C331" s="7" t="n"/>
      <c r="D331" s="7" t="n"/>
    </row>
    <row r="332">
      <c r="C332" s="7" t="n"/>
      <c r="D332" s="7" t="n"/>
    </row>
    <row r="333">
      <c r="C333" s="7" t="n"/>
      <c r="D333" s="7" t="n"/>
    </row>
    <row r="334">
      <c r="C334" s="7" t="n"/>
      <c r="D334" s="7" t="n"/>
    </row>
    <row r="335">
      <c r="C335" s="7" t="n"/>
      <c r="D335" s="7" t="n"/>
    </row>
    <row r="336">
      <c r="C336" s="7" t="n"/>
      <c r="D336" s="7" t="n"/>
    </row>
    <row r="337">
      <c r="C337" s="7" t="n"/>
      <c r="D337" s="7" t="n"/>
    </row>
    <row r="338">
      <c r="C338" s="7" t="n"/>
      <c r="D338" s="7" t="n"/>
    </row>
    <row r="339">
      <c r="C339" s="7" t="n"/>
      <c r="D339" s="7" t="n"/>
    </row>
    <row r="340">
      <c r="C340" s="7" t="n"/>
      <c r="D340" s="7" t="n"/>
    </row>
    <row r="341">
      <c r="C341" s="7" t="n"/>
      <c r="D341" s="7" t="n"/>
    </row>
    <row r="342">
      <c r="C342" s="7" t="n"/>
      <c r="D342" s="7" t="n"/>
    </row>
    <row r="343">
      <c r="C343" s="7" t="n"/>
      <c r="D343" s="7" t="n"/>
    </row>
    <row r="344">
      <c r="C344" s="7" t="n"/>
      <c r="D344" s="7" t="n"/>
    </row>
    <row r="345">
      <c r="C345" s="7" t="n"/>
      <c r="D345" s="7" t="n"/>
    </row>
    <row r="346">
      <c r="C346" s="7" t="n"/>
      <c r="D346" s="7" t="n"/>
    </row>
    <row r="347">
      <c r="C347" s="7" t="n"/>
      <c r="D347" s="7" t="n"/>
    </row>
    <row r="348">
      <c r="C348" s="7" t="n"/>
      <c r="D348" s="7" t="n"/>
    </row>
    <row r="349">
      <c r="C349" s="7" t="n"/>
      <c r="D349" s="7" t="n"/>
    </row>
    <row r="350">
      <c r="C350" s="7" t="n"/>
      <c r="D350" s="7" t="n"/>
    </row>
    <row r="351">
      <c r="C351" s="7" t="n"/>
      <c r="D351" s="7" t="n"/>
    </row>
    <row r="352">
      <c r="C352" s="7" t="n"/>
      <c r="D352" s="7" t="n"/>
    </row>
    <row r="353">
      <c r="C353" s="7" t="n"/>
      <c r="D353" s="7" t="n"/>
    </row>
    <row r="354">
      <c r="C354" s="7" t="n"/>
      <c r="D354" s="7" t="n"/>
    </row>
    <row r="355">
      <c r="C355" s="7" t="n"/>
      <c r="D355" s="7" t="n"/>
    </row>
    <row r="356">
      <c r="C356" s="7" t="n"/>
      <c r="D356" s="7" t="n"/>
    </row>
    <row r="357">
      <c r="C357" s="7" t="n"/>
      <c r="D357" s="7" t="n"/>
    </row>
    <row r="358">
      <c r="C358" s="7" t="n"/>
      <c r="D358" s="7" t="n"/>
    </row>
    <row r="359">
      <c r="C359" s="7" t="n"/>
      <c r="D359" s="7" t="n"/>
    </row>
    <row r="360">
      <c r="C360" s="7" t="n"/>
      <c r="D360" s="7" t="n"/>
    </row>
    <row r="361">
      <c r="C361" s="7" t="n"/>
      <c r="D361" s="7" t="n"/>
    </row>
    <row r="362">
      <c r="C362" s="7" t="n"/>
      <c r="D362" s="7" t="n"/>
    </row>
    <row r="363">
      <c r="C363" s="7" t="n"/>
      <c r="D363" s="7" t="n"/>
    </row>
    <row r="364">
      <c r="C364" s="7" t="n"/>
      <c r="D364" s="7" t="n"/>
    </row>
    <row r="365">
      <c r="C365" s="7" t="n"/>
      <c r="D365" s="7" t="n"/>
    </row>
    <row r="366">
      <c r="C366" s="7" t="n"/>
      <c r="D366" s="7" t="n"/>
    </row>
    <row r="367">
      <c r="C367" s="7" t="n"/>
      <c r="D367" s="7" t="n"/>
    </row>
    <row r="368">
      <c r="C368" s="7" t="n"/>
      <c r="D368" s="7" t="n"/>
    </row>
    <row r="369">
      <c r="C369" s="7" t="n"/>
      <c r="D369" s="7" t="n"/>
    </row>
    <row r="370">
      <c r="C370" s="7" t="n"/>
      <c r="D370" s="7" t="n"/>
    </row>
    <row r="371">
      <c r="C371" s="7" t="n"/>
      <c r="D371" s="7" t="n"/>
    </row>
    <row r="372">
      <c r="C372" s="7" t="n"/>
      <c r="D372" s="7" t="n"/>
    </row>
    <row r="373">
      <c r="C373" s="7" t="n"/>
      <c r="D373" s="7" t="n"/>
    </row>
    <row r="374">
      <c r="C374" s="7" t="n"/>
      <c r="D374" s="7" t="n"/>
    </row>
    <row r="375">
      <c r="C375" s="7" t="n"/>
      <c r="D375" s="7" t="n"/>
    </row>
    <row r="376">
      <c r="C376" s="7" t="n"/>
      <c r="D376" s="7" t="n"/>
    </row>
    <row r="377">
      <c r="C377" s="7" t="n"/>
      <c r="D377" s="7" t="n"/>
    </row>
    <row r="378">
      <c r="C378" s="7" t="n"/>
      <c r="D378" s="7" t="n"/>
    </row>
    <row r="379">
      <c r="C379" s="7" t="n"/>
      <c r="D379" s="7" t="n"/>
    </row>
    <row r="380">
      <c r="C380" s="7" t="n"/>
      <c r="D380" s="7" t="n"/>
    </row>
    <row r="381">
      <c r="C381" s="7" t="n"/>
      <c r="D381" s="7" t="n"/>
    </row>
    <row r="382">
      <c r="C382" s="7" t="n"/>
      <c r="D382" s="7" t="n"/>
    </row>
    <row r="383">
      <c r="C383" s="7" t="n"/>
      <c r="D383" s="7" t="n"/>
    </row>
    <row r="384">
      <c r="C384" s="7" t="n"/>
      <c r="D384" s="7" t="n"/>
    </row>
    <row r="385">
      <c r="C385" s="7" t="n"/>
      <c r="D385" s="7" t="n"/>
    </row>
    <row r="386">
      <c r="C386" s="7" t="n"/>
      <c r="D386" s="7" t="n"/>
    </row>
    <row r="387">
      <c r="C387" s="7" t="n"/>
      <c r="D387" s="7" t="n"/>
    </row>
    <row r="388">
      <c r="C388" s="7" t="n"/>
      <c r="D388" s="7" t="n"/>
    </row>
    <row r="389">
      <c r="C389" s="7" t="n"/>
      <c r="D389" s="7" t="n"/>
    </row>
    <row r="390">
      <c r="C390" s="7" t="n"/>
      <c r="D390" s="7" t="n"/>
    </row>
    <row r="391">
      <c r="C391" s="7" t="n"/>
      <c r="D391" s="7" t="n"/>
    </row>
    <row r="392">
      <c r="C392" s="7" t="n"/>
      <c r="D392" s="7" t="n"/>
    </row>
    <row r="393">
      <c r="C393" s="7" t="n"/>
      <c r="D393" s="7" t="n"/>
    </row>
    <row r="394">
      <c r="C394" s="7" t="n"/>
      <c r="D394" s="7" t="n"/>
    </row>
    <row r="395">
      <c r="C395" s="7" t="n"/>
      <c r="D395" s="7" t="n"/>
    </row>
    <row r="396">
      <c r="C396" s="7" t="n"/>
      <c r="D396" s="7" t="n"/>
    </row>
    <row r="397">
      <c r="C397" s="7" t="n"/>
      <c r="D397" s="7" t="n"/>
    </row>
    <row r="398">
      <c r="C398" s="7" t="n"/>
      <c r="D398" s="7" t="n"/>
    </row>
    <row r="399">
      <c r="C399" s="7" t="n"/>
      <c r="D399" s="7" t="n"/>
    </row>
    <row r="400">
      <c r="C400" s="7" t="n"/>
      <c r="D400" s="7" t="n"/>
    </row>
    <row r="401">
      <c r="C401" s="7" t="n"/>
      <c r="D401" s="7" t="n"/>
    </row>
    <row r="402">
      <c r="C402" s="7" t="n"/>
      <c r="D402" s="7" t="n"/>
    </row>
    <row r="403">
      <c r="C403" s="7" t="n"/>
      <c r="D403" s="7" t="n"/>
    </row>
    <row r="404">
      <c r="C404" s="7" t="n"/>
      <c r="D404" s="7" t="n"/>
    </row>
    <row r="405">
      <c r="C405" s="7" t="n"/>
      <c r="D405" s="7" t="n"/>
    </row>
    <row r="406">
      <c r="C406" s="7" t="n"/>
      <c r="D406" s="7" t="n"/>
    </row>
    <row r="407">
      <c r="C407" s="7" t="n"/>
      <c r="D407" s="7" t="n"/>
    </row>
    <row r="408">
      <c r="C408" s="7" t="n"/>
      <c r="D408" s="7" t="n"/>
    </row>
    <row r="409" ht="43.5" customHeight="1">
      <c r="C409" s="7" t="n"/>
      <c r="D409" s="7" t="n"/>
      <c r="H409" s="47" t="n"/>
    </row>
    <row r="410">
      <c r="C410" s="7" t="n"/>
      <c r="D410" s="7" t="n"/>
      <c r="H410" s="47" t="n"/>
    </row>
    <row r="411">
      <c r="C411" s="7" t="n"/>
      <c r="D411" s="7" t="n"/>
      <c r="H411" s="47" t="n"/>
    </row>
    <row r="412">
      <c r="C412" s="7" t="n"/>
      <c r="D412" s="7" t="n"/>
      <c r="H412" s="47" t="n"/>
    </row>
    <row r="413">
      <c r="C413" s="7" t="n"/>
      <c r="D413" s="7" t="n"/>
      <c r="H413" s="47" t="n"/>
    </row>
    <row r="414">
      <c r="C414" s="7" t="n"/>
      <c r="D414" s="7" t="n"/>
      <c r="H414" s="47" t="n"/>
    </row>
    <row r="415">
      <c r="C415" s="7" t="n"/>
      <c r="D415" s="7" t="n"/>
      <c r="H415" s="47" t="n"/>
    </row>
    <row r="416">
      <c r="C416" s="7" t="n"/>
      <c r="D416" s="7" t="n"/>
      <c r="H416" s="47" t="n"/>
    </row>
    <row r="417">
      <c r="C417" s="7" t="n"/>
      <c r="D417" s="7" t="n"/>
      <c r="H417" s="47" t="n"/>
    </row>
    <row r="418">
      <c r="C418" s="7" t="n"/>
      <c r="D418" s="7" t="n"/>
      <c r="H418" s="47" t="n"/>
    </row>
    <row r="419">
      <c r="C419" s="7" t="n"/>
      <c r="D419" s="7" t="n"/>
      <c r="H419" s="47" t="n"/>
    </row>
    <row r="420">
      <c r="C420" s="7" t="n"/>
      <c r="D420" s="7" t="n"/>
      <c r="H420" s="47" t="n"/>
    </row>
    <row r="421">
      <c r="C421" s="7" t="n"/>
      <c r="D421" s="7" t="n"/>
      <c r="H421" s="47" t="n"/>
    </row>
    <row r="422">
      <c r="C422" s="7" t="n"/>
      <c r="D422" s="7" t="n"/>
      <c r="H422" s="47" t="n"/>
    </row>
    <row r="423">
      <c r="C423" s="7" t="n"/>
      <c r="D423" s="7" t="n"/>
      <c r="H423" s="47" t="n"/>
    </row>
    <row r="424">
      <c r="C424" s="7" t="n"/>
      <c r="D424" s="7" t="n"/>
      <c r="H424" s="47" t="n"/>
    </row>
    <row r="425">
      <c r="C425" s="7" t="n"/>
      <c r="D425" s="7" t="n"/>
      <c r="H425" s="47" t="n"/>
    </row>
    <row r="426">
      <c r="C426" s="7" t="n"/>
      <c r="D426" s="7" t="n"/>
      <c r="H426" s="47" t="n"/>
    </row>
    <row r="427" ht="29.25" customHeight="1">
      <c r="C427" s="7" t="n"/>
      <c r="D427" s="7" t="n"/>
      <c r="H427" s="47" t="n"/>
    </row>
    <row r="428" ht="29.25" customHeight="1">
      <c r="C428" s="7" t="n"/>
      <c r="D428" s="7" t="n"/>
      <c r="H428" s="47" t="n"/>
    </row>
    <row r="429" ht="29.25" customHeight="1">
      <c r="C429" s="7" t="n"/>
      <c r="D429" s="7" t="n"/>
      <c r="H429" s="47" t="n"/>
    </row>
    <row r="430" ht="29.25" customHeight="1">
      <c r="C430" s="7" t="n"/>
      <c r="D430" s="7" t="n"/>
      <c r="H430" s="47" t="n"/>
    </row>
    <row r="431">
      <c r="C431" s="7" t="n"/>
      <c r="D431" s="7" t="n"/>
      <c r="H431" s="47" t="n"/>
    </row>
    <row r="432">
      <c r="C432" s="7" t="n"/>
      <c r="D432" s="7" t="n"/>
      <c r="H432" s="47" t="n"/>
    </row>
    <row r="433">
      <c r="C433" s="7" t="n"/>
      <c r="D433" s="7" t="n"/>
      <c r="H433" s="47" t="n"/>
    </row>
    <row r="434">
      <c r="C434" s="7" t="n"/>
      <c r="D434" s="7" t="n"/>
      <c r="H434" s="47" t="n"/>
    </row>
    <row r="435">
      <c r="C435" s="7" t="n"/>
      <c r="D435" s="7" t="n"/>
      <c r="H435" s="47" t="n"/>
    </row>
    <row r="436">
      <c r="C436" s="7" t="n"/>
      <c r="D436" s="7" t="n"/>
      <c r="H436" s="47" t="n"/>
    </row>
    <row r="437">
      <c r="C437" s="7" t="n"/>
      <c r="D437" s="7" t="n"/>
      <c r="H437" s="47" t="n"/>
    </row>
    <row r="438">
      <c r="C438" s="7" t="n"/>
      <c r="D438" s="7" t="n"/>
      <c r="H438" s="47" t="n"/>
    </row>
    <row r="439">
      <c r="C439" s="7" t="n"/>
      <c r="D439" s="7" t="n"/>
      <c r="H439" s="47" t="n"/>
    </row>
    <row r="440">
      <c r="C440" s="7" t="n"/>
      <c r="D440" s="7" t="n"/>
      <c r="H440" s="47" t="n"/>
    </row>
    <row r="441">
      <c r="C441" s="7" t="n"/>
      <c r="D441" s="7" t="n"/>
      <c r="H441" s="47" t="n"/>
    </row>
    <row r="442">
      <c r="C442" s="7" t="n"/>
      <c r="D442" s="7" t="n"/>
      <c r="H442" s="47" t="n"/>
    </row>
    <row r="443">
      <c r="C443" s="7" t="n"/>
      <c r="D443" s="7" t="n"/>
      <c r="H443" s="47" t="n"/>
    </row>
    <row r="444">
      <c r="C444" s="7" t="n"/>
      <c r="D444" s="7" t="n"/>
      <c r="H444" s="47" t="n"/>
    </row>
    <row r="445">
      <c r="C445" s="7" t="n"/>
      <c r="D445" s="7" t="n"/>
      <c r="H445" s="47" t="n"/>
    </row>
    <row r="446">
      <c r="C446" s="7" t="n"/>
      <c r="D446" s="7" t="n"/>
      <c r="H446" s="47" t="n"/>
    </row>
    <row r="447">
      <c r="C447" s="7" t="n"/>
      <c r="D447" s="7" t="n"/>
      <c r="H447" s="47" t="n"/>
    </row>
    <row r="448">
      <c r="C448" s="7" t="n"/>
      <c r="D448" s="7" t="n"/>
      <c r="H448" s="47" t="n"/>
    </row>
    <row r="449">
      <c r="C449" s="7" t="n"/>
      <c r="D449" s="7" t="n"/>
      <c r="H449" s="47" t="n"/>
    </row>
    <row r="450">
      <c r="C450" s="7" t="n"/>
      <c r="D450" s="7" t="n"/>
      <c r="H450" s="47" t="n"/>
    </row>
    <row r="451">
      <c r="C451" s="7" t="n"/>
      <c r="D451" s="7" t="n"/>
      <c r="H451" s="47" t="n"/>
    </row>
    <row r="452">
      <c r="C452" s="7" t="n"/>
      <c r="D452" s="7" t="n"/>
      <c r="H452" s="47" t="n"/>
    </row>
    <row r="453">
      <c r="C453" s="7" t="n"/>
      <c r="D453" s="7" t="n"/>
      <c r="H453" s="47" t="n"/>
    </row>
    <row r="454">
      <c r="C454" s="7" t="n"/>
      <c r="D454" s="7" t="n"/>
      <c r="H454" s="47" t="n"/>
    </row>
    <row r="455">
      <c r="C455" s="7" t="n"/>
      <c r="D455" s="7" t="n"/>
      <c r="H455" s="47" t="n"/>
    </row>
    <row r="456">
      <c r="C456" s="7" t="n"/>
      <c r="D456" s="7" t="n"/>
      <c r="H456" s="47" t="n"/>
    </row>
    <row r="457">
      <c r="C457" s="7" t="n"/>
      <c r="D457" s="7" t="n"/>
      <c r="H457" s="47" t="n"/>
    </row>
    <row r="458">
      <c r="C458" s="7" t="n"/>
      <c r="D458" s="7" t="n"/>
      <c r="H458" s="47" t="n"/>
    </row>
    <row r="459">
      <c r="C459" s="7" t="n"/>
      <c r="D459" s="7" t="n"/>
      <c r="H459" s="47" t="n"/>
    </row>
    <row r="460">
      <c r="C460" s="7" t="n"/>
      <c r="D460" s="7" t="n"/>
      <c r="H460" s="47" t="n"/>
    </row>
    <row r="461">
      <c r="C461" s="7" t="n"/>
      <c r="D461" s="7" t="n"/>
      <c r="H461" s="47" t="n"/>
    </row>
    <row r="462">
      <c r="C462" s="7" t="n"/>
      <c r="D462" s="7" t="n"/>
      <c r="H462" s="47" t="n"/>
    </row>
    <row r="463">
      <c r="C463" s="7" t="n"/>
      <c r="D463" s="7" t="n"/>
      <c r="H463" s="47" t="n"/>
    </row>
    <row r="464">
      <c r="C464" s="7" t="n"/>
      <c r="D464" s="7" t="n"/>
      <c r="H464" s="47" t="n"/>
    </row>
    <row r="465">
      <c r="C465" s="7" t="n"/>
      <c r="D465" s="7" t="n"/>
      <c r="H465" s="47" t="n"/>
    </row>
    <row r="466">
      <c r="C466" s="7" t="n"/>
      <c r="D466" s="7" t="n"/>
      <c r="H466" s="47" t="n"/>
    </row>
    <row r="467">
      <c r="C467" s="7" t="n"/>
      <c r="D467" s="7" t="n"/>
      <c r="H467" s="47" t="n"/>
    </row>
    <row r="468">
      <c r="C468" s="7" t="n"/>
      <c r="D468" s="7" t="n"/>
      <c r="H468" s="47" t="n"/>
    </row>
    <row r="469">
      <c r="C469" s="7" t="n"/>
      <c r="D469" s="7" t="n"/>
      <c r="H469" s="47" t="n"/>
    </row>
    <row r="470">
      <c r="C470" s="7" t="n"/>
      <c r="D470" s="7" t="n"/>
      <c r="H470" s="47" t="n"/>
    </row>
    <row r="471">
      <c r="C471" s="7" t="n"/>
      <c r="D471" s="7" t="n"/>
      <c r="H471" s="47" t="n"/>
    </row>
    <row r="472">
      <c r="C472" s="7" t="n"/>
      <c r="D472" s="7" t="n"/>
      <c r="H472" s="47" t="n"/>
    </row>
    <row r="473">
      <c r="C473" s="7" t="n"/>
      <c r="D473" s="7" t="n"/>
      <c r="H473" s="47" t="n"/>
    </row>
    <row r="474">
      <c r="C474" s="7" t="n"/>
      <c r="D474" s="7" t="n"/>
      <c r="H474" s="47" t="n"/>
    </row>
    <row r="475">
      <c r="C475" s="7" t="n"/>
      <c r="D475" s="7" t="n"/>
      <c r="H475" s="47" t="n"/>
    </row>
    <row r="476">
      <c r="C476" s="7" t="n"/>
      <c r="D476" s="7" t="n"/>
      <c r="H476" s="47" t="n"/>
    </row>
    <row r="477">
      <c r="C477" s="7" t="n"/>
      <c r="D477" s="7" t="n"/>
      <c r="H477" s="47" t="n"/>
    </row>
    <row r="478">
      <c r="C478" s="7" t="n"/>
      <c r="D478" s="7" t="n"/>
      <c r="H478" s="47" t="n"/>
    </row>
    <row r="479">
      <c r="C479" s="7" t="n"/>
      <c r="D479" s="7" t="n"/>
      <c r="H479" s="47" t="n"/>
    </row>
    <row r="480">
      <c r="C480" s="7" t="n"/>
      <c r="D480" s="7" t="n"/>
      <c r="H480" s="47" t="n"/>
    </row>
    <row r="481">
      <c r="C481" s="7" t="n"/>
      <c r="D481" s="7" t="n"/>
      <c r="H481" s="47" t="n"/>
    </row>
    <row r="482">
      <c r="C482" s="7" t="n"/>
      <c r="D482" s="7" t="n"/>
      <c r="H482" s="47" t="n"/>
    </row>
    <row r="483">
      <c r="C483" s="7" t="n"/>
      <c r="D483" s="7" t="n"/>
      <c r="H483" s="47" t="n"/>
    </row>
    <row r="484">
      <c r="C484" s="7" t="n"/>
      <c r="D484" s="7" t="n"/>
      <c r="H484" s="47" t="n"/>
    </row>
    <row r="485">
      <c r="C485" s="7" t="n"/>
      <c r="D485" s="7" t="n"/>
      <c r="H485" s="47" t="n"/>
    </row>
    <row r="486">
      <c r="C486" s="7" t="n"/>
      <c r="D486" s="7" t="n"/>
      <c r="H486" s="47" t="n"/>
    </row>
    <row r="487">
      <c r="C487" s="7" t="n"/>
      <c r="D487" s="7" t="n"/>
      <c r="H487" s="47" t="n"/>
    </row>
    <row r="488">
      <c r="C488" s="7" t="n"/>
      <c r="D488" s="7" t="n"/>
      <c r="H488" s="47" t="n"/>
    </row>
    <row r="489">
      <c r="C489" s="7" t="n"/>
      <c r="D489" s="7" t="n"/>
      <c r="H489" s="47" t="n"/>
    </row>
    <row r="490">
      <c r="C490" s="7" t="n"/>
      <c r="D490" s="7" t="n"/>
      <c r="H490" s="47" t="n"/>
    </row>
    <row r="491">
      <c r="C491" s="7" t="n"/>
      <c r="D491" s="7" t="n"/>
      <c r="H491" s="47" t="n"/>
    </row>
    <row r="492">
      <c r="C492" s="7" t="n"/>
      <c r="D492" s="7" t="n"/>
      <c r="H492" s="47" t="n"/>
    </row>
    <row r="493">
      <c r="C493" s="7" t="n"/>
      <c r="D493" s="7" t="n"/>
      <c r="H493" s="47" t="n"/>
    </row>
    <row r="494">
      <c r="C494" s="7" t="n"/>
      <c r="D494" s="7" t="n"/>
      <c r="H494" s="47" t="n"/>
    </row>
    <row r="495">
      <c r="C495" s="7" t="n"/>
      <c r="D495" s="7" t="n"/>
      <c r="H495" s="47" t="n"/>
    </row>
    <row r="496">
      <c r="C496" s="7" t="n"/>
      <c r="D496" s="7" t="n"/>
      <c r="H496" s="47" t="n"/>
    </row>
    <row r="497">
      <c r="C497" s="7" t="n"/>
      <c r="D497" s="7" t="n"/>
      <c r="H497" s="47" t="n"/>
    </row>
    <row r="498">
      <c r="C498" s="7" t="n"/>
      <c r="D498" s="7" t="n"/>
      <c r="H498" s="47" t="n"/>
    </row>
    <row r="499">
      <c r="C499" s="7" t="n"/>
      <c r="D499" s="7" t="n"/>
      <c r="H499" s="47" t="n"/>
    </row>
    <row r="500">
      <c r="C500" s="7" t="n"/>
      <c r="D500" s="7" t="n"/>
      <c r="H500" s="47" t="n"/>
    </row>
    <row r="501">
      <c r="C501" s="7" t="n"/>
      <c r="D501" s="7" t="n"/>
      <c r="H501" s="47" t="n"/>
    </row>
    <row r="502">
      <c r="C502" s="7" t="n"/>
      <c r="D502" s="7" t="n"/>
      <c r="H502" s="47" t="n"/>
    </row>
    <row r="503">
      <c r="C503" s="7" t="n"/>
      <c r="D503" s="7" t="n"/>
      <c r="H503" s="47" t="n"/>
    </row>
    <row r="504">
      <c r="C504" s="7" t="n"/>
      <c r="D504" s="7" t="n"/>
      <c r="H504" s="47" t="n"/>
    </row>
    <row r="505">
      <c r="C505" s="7" t="n"/>
      <c r="D505" s="7" t="n"/>
      <c r="H505" s="47" t="n"/>
    </row>
    <row r="506">
      <c r="C506" s="7" t="n"/>
      <c r="D506" s="7" t="n"/>
      <c r="H506" s="47" t="n"/>
    </row>
    <row r="507">
      <c r="C507" s="7" t="n"/>
      <c r="D507" s="7" t="n"/>
      <c r="H507" s="47" t="n"/>
    </row>
    <row r="508">
      <c r="C508" s="7" t="n"/>
      <c r="D508" s="7" t="n"/>
      <c r="H508" s="47" t="n"/>
    </row>
    <row r="509">
      <c r="C509" s="7" t="n"/>
      <c r="D509" s="7" t="n"/>
      <c r="H509" s="47" t="n"/>
    </row>
    <row r="510">
      <c r="C510" s="7" t="n"/>
      <c r="D510" s="7" t="n"/>
      <c r="H510" s="47" t="n"/>
    </row>
    <row r="511">
      <c r="C511" s="7" t="n"/>
      <c r="D511" s="7" t="n"/>
      <c r="H511" s="47" t="n"/>
    </row>
    <row r="512">
      <c r="C512" s="7" t="n"/>
      <c r="D512" s="7" t="n"/>
      <c r="H512" s="47" t="n"/>
    </row>
    <row r="513">
      <c r="C513" s="7" t="n"/>
      <c r="D513" s="7" t="n"/>
      <c r="H513" s="47" t="n"/>
    </row>
    <row r="514">
      <c r="C514" s="7" t="n"/>
      <c r="D514" s="7" t="n"/>
      <c r="H514" s="47" t="n"/>
    </row>
    <row r="515">
      <c r="C515" s="7" t="n"/>
      <c r="D515" s="7" t="n"/>
      <c r="H515" s="47" t="n"/>
    </row>
    <row r="516">
      <c r="C516" s="7" t="n"/>
      <c r="D516" s="7" t="n"/>
      <c r="H516" s="47" t="n"/>
    </row>
    <row r="517">
      <c r="C517" s="7" t="n"/>
      <c r="D517" s="7" t="n"/>
      <c r="H517" s="47" t="n"/>
    </row>
    <row r="518">
      <c r="C518" s="7" t="n"/>
      <c r="D518" s="7" t="n"/>
      <c r="H518" s="47" t="n"/>
    </row>
    <row r="519">
      <c r="C519" s="7" t="n"/>
      <c r="D519" s="7" t="n"/>
      <c r="H519" s="47" t="n"/>
    </row>
    <row r="520">
      <c r="C520" s="7" t="n"/>
      <c r="D520" s="7" t="n"/>
      <c r="H520" s="47" t="n"/>
    </row>
    <row r="521">
      <c r="C521" s="7" t="n"/>
      <c r="D521" s="7" t="n"/>
      <c r="H521" s="47" t="n"/>
    </row>
    <row r="522">
      <c r="C522" s="7" t="n"/>
      <c r="D522" s="7" t="n"/>
      <c r="H522" s="47" t="n"/>
    </row>
    <row r="523">
      <c r="C523" s="7" t="n"/>
      <c r="D523" s="7" t="n"/>
      <c r="H523" s="47" t="n"/>
    </row>
    <row r="524">
      <c r="C524" s="7" t="n"/>
      <c r="D524" s="7" t="n"/>
      <c r="H524" s="47" t="n"/>
    </row>
    <row r="525">
      <c r="C525" s="7" t="n"/>
      <c r="D525" s="7" t="n"/>
      <c r="H525" s="47" t="n"/>
    </row>
    <row r="526">
      <c r="C526" s="7" t="n"/>
      <c r="D526" s="7" t="n"/>
      <c r="H526" s="47" t="n"/>
    </row>
    <row r="527">
      <c r="C527" s="7" t="n"/>
      <c r="D527" s="7" t="n"/>
      <c r="H527" s="47" t="n"/>
    </row>
    <row r="528">
      <c r="C528" s="7" t="n"/>
      <c r="D528" s="7" t="n"/>
      <c r="H528" s="47" t="n"/>
    </row>
    <row r="529">
      <c r="C529" s="7" t="n"/>
      <c r="D529" s="7" t="n"/>
      <c r="H529" s="47" t="n"/>
    </row>
    <row r="530">
      <c r="C530" s="7" t="n"/>
      <c r="D530" s="7" t="n"/>
      <c r="H530" s="47" t="n"/>
    </row>
    <row r="531">
      <c r="C531" s="7" t="n"/>
      <c r="D531" s="7" t="n"/>
      <c r="H531" s="47" t="n"/>
    </row>
    <row r="532">
      <c r="C532" s="7" t="n"/>
      <c r="D532" s="7" t="n"/>
      <c r="H532" s="47" t="n"/>
    </row>
    <row r="533">
      <c r="C533" s="7" t="n"/>
      <c r="D533" s="7" t="n"/>
      <c r="H533" s="47" t="n"/>
    </row>
    <row r="534">
      <c r="C534" s="7" t="n"/>
      <c r="D534" s="7" t="n"/>
      <c r="H534" s="47" t="n"/>
    </row>
    <row r="535">
      <c r="C535" s="7" t="n"/>
      <c r="D535" s="7" t="n"/>
      <c r="H535" s="47" t="n"/>
    </row>
    <row r="536">
      <c r="C536" s="7" t="n"/>
      <c r="D536" s="7" t="n"/>
      <c r="H536" s="47" t="n"/>
    </row>
    <row r="537">
      <c r="C537" s="7" t="n"/>
      <c r="D537" s="7" t="n"/>
      <c r="H537" s="47" t="n"/>
    </row>
    <row r="538">
      <c r="C538" s="7" t="n"/>
      <c r="D538" s="7" t="n"/>
      <c r="H538" s="47" t="n"/>
    </row>
    <row r="539">
      <c r="C539" s="7" t="n"/>
      <c r="D539" s="7" t="n"/>
      <c r="H539" s="47" t="n"/>
    </row>
    <row r="540">
      <c r="C540" s="7" t="n"/>
      <c r="D540" s="7" t="n"/>
      <c r="H540" s="47" t="n"/>
    </row>
    <row r="541">
      <c r="C541" s="7" t="n"/>
      <c r="D541" s="7" t="n"/>
      <c r="H541" s="47" t="n"/>
    </row>
    <row r="542">
      <c r="C542" s="7" t="n"/>
      <c r="D542" s="7" t="n"/>
      <c r="H542" s="47" t="n"/>
    </row>
    <row r="543">
      <c r="C543" s="7" t="n"/>
      <c r="D543" s="7" t="n"/>
      <c r="H543" s="47" t="n"/>
    </row>
    <row r="544">
      <c r="C544" s="7" t="n"/>
      <c r="D544" s="7" t="n"/>
      <c r="H544" s="47" t="n"/>
    </row>
    <row r="545">
      <c r="C545" s="7" t="n"/>
      <c r="D545" s="7" t="n"/>
      <c r="H545" s="47" t="n"/>
    </row>
    <row r="546">
      <c r="C546" s="7" t="n"/>
      <c r="D546" s="7" t="n"/>
      <c r="H546" s="47" t="n"/>
    </row>
    <row r="547">
      <c r="C547" s="7" t="n"/>
      <c r="D547" s="7" t="n"/>
      <c r="H547" s="47" t="n"/>
    </row>
    <row r="548">
      <c r="C548" s="7" t="n"/>
      <c r="D548" s="7" t="n"/>
      <c r="H548" s="47" t="n"/>
    </row>
    <row r="549">
      <c r="C549" s="7" t="n"/>
      <c r="D549" s="7" t="n"/>
      <c r="H549" s="47" t="n"/>
    </row>
    <row r="550">
      <c r="C550" s="7" t="n"/>
      <c r="D550" s="7" t="n"/>
      <c r="H550" s="47" t="n"/>
    </row>
    <row r="551">
      <c r="C551" s="7" t="n"/>
      <c r="D551" s="7" t="n"/>
      <c r="H551" s="47" t="n"/>
    </row>
    <row r="552">
      <c r="C552" s="7" t="n"/>
      <c r="D552" s="7" t="n"/>
      <c r="H552" s="47" t="n"/>
    </row>
    <row r="553">
      <c r="C553" s="7" t="n"/>
      <c r="D553" s="7" t="n"/>
      <c r="H553" s="47" t="n"/>
    </row>
    <row r="554">
      <c r="C554" s="7" t="n"/>
      <c r="D554" s="7" t="n"/>
      <c r="H554" s="47" t="n"/>
    </row>
    <row r="555">
      <c r="C555" s="7" t="n"/>
      <c r="D555" s="7" t="n"/>
      <c r="H555" s="47" t="n"/>
    </row>
    <row r="556">
      <c r="C556" s="7" t="n"/>
      <c r="D556" s="7" t="n"/>
      <c r="H556" s="47" t="n"/>
    </row>
    <row r="557">
      <c r="C557" s="7" t="n"/>
      <c r="D557" s="7" t="n"/>
      <c r="H557" s="47" t="n"/>
    </row>
    <row r="558">
      <c r="C558" s="7" t="n"/>
      <c r="D558" s="7" t="n"/>
      <c r="H558" s="47" t="n"/>
    </row>
    <row r="559">
      <c r="C559" s="7" t="n"/>
      <c r="D559" s="7" t="n"/>
      <c r="H559" s="47" t="n"/>
    </row>
    <row r="560">
      <c r="C560" s="7" t="n"/>
      <c r="D560" s="7" t="n"/>
      <c r="H560" s="47" t="n"/>
    </row>
    <row r="561">
      <c r="C561" s="7" t="n"/>
      <c r="D561" s="7" t="n"/>
      <c r="H561" s="47" t="n"/>
    </row>
    <row r="562">
      <c r="C562" s="7" t="n"/>
      <c r="D562" s="7" t="n"/>
      <c r="H562" s="47" t="n"/>
    </row>
    <row r="563">
      <c r="C563" s="7" t="n"/>
      <c r="D563" s="7" t="n"/>
      <c r="H563" s="47" t="n"/>
    </row>
    <row r="564">
      <c r="C564" s="7" t="n"/>
      <c r="D564" s="7" t="n"/>
      <c r="H564" s="47" t="n"/>
    </row>
    <row r="565">
      <c r="C565" s="7" t="n"/>
      <c r="D565" s="7" t="n"/>
      <c r="H565" s="47" t="n"/>
    </row>
    <row r="566">
      <c r="C566" s="7" t="n"/>
      <c r="D566" s="7" t="n"/>
      <c r="H566" s="47" t="n"/>
    </row>
    <row r="567">
      <c r="C567" s="7" t="n"/>
      <c r="D567" s="7" t="n"/>
      <c r="H567" s="47" t="n"/>
    </row>
    <row r="568">
      <c r="C568" s="7" t="n"/>
      <c r="D568" s="7" t="n"/>
      <c r="H568" s="47" t="n"/>
    </row>
    <row r="569">
      <c r="C569" s="7" t="n"/>
      <c r="D569" s="7" t="n"/>
      <c r="H569" s="47" t="n"/>
    </row>
    <row r="570">
      <c r="C570" s="7" t="n"/>
      <c r="D570" s="7" t="n"/>
      <c r="H570" s="47" t="n"/>
    </row>
    <row r="571">
      <c r="C571" s="7" t="n"/>
      <c r="D571" s="7" t="n"/>
      <c r="H571" s="47" t="n"/>
    </row>
    <row r="572">
      <c r="C572" s="7" t="n"/>
      <c r="D572" s="7" t="n"/>
      <c r="H572" s="47" t="n"/>
    </row>
    <row r="573">
      <c r="C573" s="7" t="n"/>
      <c r="D573" s="7" t="n"/>
      <c r="H573" s="47" t="n"/>
    </row>
    <row r="574">
      <c r="C574" s="7" t="n"/>
      <c r="D574" s="7" t="n"/>
      <c r="H574" s="47" t="n"/>
    </row>
    <row r="575">
      <c r="C575" s="7" t="n"/>
      <c r="D575" s="7" t="n"/>
      <c r="H575" s="47" t="n"/>
    </row>
    <row r="576">
      <c r="C576" s="7" t="n"/>
      <c r="D576" s="7" t="n"/>
      <c r="H576" s="47" t="n"/>
    </row>
    <row r="577">
      <c r="C577" s="7" t="n"/>
      <c r="D577" s="7" t="n"/>
      <c r="H577" s="47" t="n"/>
    </row>
    <row r="578">
      <c r="C578" s="7" t="n"/>
      <c r="D578" s="7" t="n"/>
      <c r="H578" s="47" t="n"/>
    </row>
    <row r="579">
      <c r="C579" s="7" t="n"/>
      <c r="D579" s="7" t="n"/>
      <c r="H579" s="47" t="n"/>
    </row>
    <row r="580">
      <c r="C580" s="7" t="n"/>
      <c r="D580" s="7" t="n"/>
      <c r="H580" s="47" t="n"/>
    </row>
    <row r="581">
      <c r="C581" s="7" t="n"/>
      <c r="D581" s="7" t="n"/>
      <c r="H581" s="47" t="n"/>
    </row>
    <row r="582">
      <c r="C582" s="7" t="n"/>
      <c r="D582" s="7" t="n"/>
      <c r="H582" s="47" t="n"/>
    </row>
    <row r="583">
      <c r="C583" s="7" t="n"/>
      <c r="D583" s="7" t="n"/>
      <c r="H583" s="47" t="n"/>
    </row>
    <row r="584">
      <c r="C584" s="7" t="n"/>
      <c r="D584" s="7" t="n"/>
      <c r="H584" s="47" t="n"/>
    </row>
    <row r="585">
      <c r="C585" s="7" t="n"/>
      <c r="D585" s="7" t="n"/>
      <c r="H585" s="47" t="n"/>
    </row>
    <row r="586">
      <c r="C586" s="7" t="n"/>
      <c r="D586" s="7" t="n"/>
      <c r="H586" s="47" t="n"/>
    </row>
    <row r="587">
      <c r="C587" s="7" t="n"/>
      <c r="D587" s="7" t="n"/>
      <c r="H587" s="47" t="n"/>
    </row>
    <row r="588">
      <c r="C588" s="7" t="n"/>
      <c r="D588" s="7" t="n"/>
      <c r="H588" s="47" t="n"/>
    </row>
    <row r="589">
      <c r="C589" s="7" t="n"/>
      <c r="D589" s="7" t="n"/>
      <c r="H589" s="47" t="n"/>
    </row>
    <row r="590">
      <c r="C590" s="7" t="n"/>
      <c r="D590" s="7" t="n"/>
      <c r="H590" s="47" t="n"/>
    </row>
    <row r="591">
      <c r="C591" s="7" t="n"/>
      <c r="D591" s="7" t="n"/>
      <c r="H591" s="47" t="n"/>
    </row>
    <row r="592">
      <c r="C592" s="7" t="n"/>
      <c r="D592" s="7" t="n"/>
      <c r="H592" s="47" t="n"/>
    </row>
    <row r="593">
      <c r="C593" s="7" t="n"/>
      <c r="D593" s="7" t="n"/>
      <c r="H593" s="47" t="n"/>
    </row>
    <row r="594">
      <c r="C594" s="7" t="n"/>
      <c r="D594" s="7" t="n"/>
      <c r="H594" s="47" t="n"/>
    </row>
    <row r="595">
      <c r="C595" s="7" t="n"/>
      <c r="D595" s="7" t="n"/>
      <c r="H595" s="47" t="n"/>
    </row>
    <row r="596">
      <c r="C596" s="7" t="n"/>
      <c r="D596" s="7" t="n"/>
      <c r="H596" s="47" t="n"/>
    </row>
    <row r="597">
      <c r="C597" s="7" t="n"/>
      <c r="D597" s="7" t="n"/>
      <c r="H597" s="47" t="n"/>
    </row>
    <row r="598">
      <c r="C598" s="7" t="n"/>
      <c r="D598" s="7" t="n"/>
      <c r="H598" s="47" t="n"/>
    </row>
    <row r="599">
      <c r="C599" s="7" t="n"/>
      <c r="D599" s="7" t="n"/>
      <c r="H599" s="47" t="n"/>
    </row>
    <row r="600">
      <c r="C600" s="7" t="n"/>
      <c r="D600" s="7" t="n"/>
      <c r="H600" s="47" t="n"/>
    </row>
    <row r="601">
      <c r="C601" s="7" t="n"/>
      <c r="D601" s="7" t="n"/>
      <c r="H601" s="47" t="n"/>
    </row>
    <row r="602">
      <c r="C602" s="7" t="n"/>
      <c r="D602" s="7" t="n"/>
      <c r="H602" s="47" t="n"/>
    </row>
    <row r="603">
      <c r="C603" s="7" t="n"/>
      <c r="D603" s="7" t="n"/>
      <c r="H603" s="47" t="n"/>
    </row>
    <row r="604">
      <c r="C604" s="7" t="n"/>
      <c r="D604" s="7" t="n"/>
      <c r="H604" s="47" t="n"/>
    </row>
    <row r="605">
      <c r="C605" s="7" t="n"/>
      <c r="D605" s="7" t="n"/>
      <c r="H605" s="47" t="n"/>
    </row>
    <row r="606">
      <c r="C606" s="7" t="n"/>
      <c r="D606" s="7" t="n"/>
      <c r="H606" s="47" t="n"/>
    </row>
    <row r="607">
      <c r="C607" s="7" t="n"/>
      <c r="D607" s="7" t="n"/>
      <c r="H607" s="47" t="n"/>
    </row>
    <row r="608">
      <c r="C608" s="7" t="n"/>
      <c r="D608" s="7" t="n"/>
      <c r="H608" s="47" t="n"/>
    </row>
    <row r="609" ht="29.25" customHeight="1">
      <c r="C609" s="7" t="n"/>
      <c r="D609" s="7" t="n"/>
      <c r="H609" s="47" t="n"/>
    </row>
    <row r="610">
      <c r="C610" s="7" t="n"/>
      <c r="D610" s="7" t="n"/>
      <c r="H610" s="47" t="n"/>
    </row>
    <row r="611">
      <c r="C611" s="7" t="n"/>
      <c r="D611" s="7" t="n"/>
      <c r="H611" s="47" t="n"/>
    </row>
    <row r="612">
      <c r="C612" s="7" t="n"/>
      <c r="D612" s="7" t="n"/>
      <c r="H612" s="47" t="n"/>
    </row>
    <row r="613">
      <c r="C613" s="7" t="n"/>
      <c r="D613" s="7" t="n"/>
      <c r="H613" s="47" t="n"/>
    </row>
    <row r="614">
      <c r="C614" s="7" t="n"/>
      <c r="D614" s="7" t="n"/>
      <c r="H614" s="47" t="n"/>
    </row>
    <row r="615">
      <c r="C615" s="7" t="n"/>
      <c r="D615" s="7" t="n"/>
      <c r="H615" s="47" t="n"/>
    </row>
    <row r="616">
      <c r="C616" s="7" t="n"/>
      <c r="D616" s="7" t="n"/>
      <c r="H616" s="47" t="n"/>
    </row>
    <row r="617">
      <c r="C617" s="7" t="n"/>
      <c r="D617" s="7" t="n"/>
      <c r="H617" s="47" t="n"/>
    </row>
    <row r="618">
      <c r="C618" s="7" t="n"/>
      <c r="D618" s="7" t="n"/>
      <c r="H618" s="47" t="n"/>
    </row>
    <row r="619">
      <c r="C619" s="7" t="n"/>
      <c r="D619" s="7" t="n"/>
      <c r="H619" s="47" t="n"/>
    </row>
    <row r="620">
      <c r="C620" s="7" t="n"/>
      <c r="D620" s="7" t="n"/>
      <c r="H620" s="47" t="n"/>
    </row>
    <row r="621">
      <c r="C621" s="7" t="n"/>
      <c r="D621" s="7" t="n"/>
      <c r="H621" s="47" t="n"/>
    </row>
    <row r="622">
      <c r="C622" s="7" t="n"/>
      <c r="D622" s="7" t="n"/>
      <c r="H622" s="47" t="n"/>
    </row>
    <row r="623">
      <c r="C623" s="7" t="n"/>
      <c r="D623" s="7" t="n"/>
      <c r="H623" s="47" t="n"/>
    </row>
    <row r="624">
      <c r="C624" s="7" t="n"/>
      <c r="D624" s="7" t="n"/>
      <c r="H624" s="47" t="n"/>
    </row>
    <row r="625">
      <c r="C625" s="7" t="n"/>
      <c r="D625" s="7" t="n"/>
      <c r="H625" s="47" t="n"/>
    </row>
    <row r="626">
      <c r="C626" s="7" t="n"/>
      <c r="D626" s="7" t="n"/>
      <c r="H626" s="47" t="n"/>
    </row>
    <row r="627">
      <c r="C627" s="7" t="n"/>
      <c r="D627" s="7" t="n"/>
      <c r="H627" s="47" t="n"/>
    </row>
    <row r="628">
      <c r="C628" s="7" t="n"/>
      <c r="D628" s="7" t="n"/>
      <c r="H628" s="47" t="n"/>
    </row>
    <row r="629">
      <c r="C629" s="7" t="n"/>
      <c r="D629" s="7" t="n"/>
      <c r="H629" s="47" t="n"/>
    </row>
    <row r="630">
      <c r="C630" s="7" t="n"/>
      <c r="D630" s="7" t="n"/>
      <c r="H630" s="47" t="n"/>
    </row>
    <row r="631">
      <c r="C631" s="7" t="n"/>
      <c r="D631" s="7" t="n"/>
      <c r="H631" s="47" t="n"/>
    </row>
    <row r="632">
      <c r="C632" s="7" t="n"/>
      <c r="D632" s="7" t="n"/>
      <c r="H632" s="47" t="n"/>
    </row>
    <row r="633">
      <c r="C633" s="7" t="n"/>
      <c r="D633" s="7" t="n"/>
      <c r="H633" s="47" t="n"/>
    </row>
    <row r="634">
      <c r="C634" s="7" t="n"/>
      <c r="D634" s="7" t="n"/>
      <c r="H634" s="47" t="n"/>
    </row>
    <row r="635">
      <c r="C635" s="7" t="n"/>
      <c r="D635" s="7" t="n"/>
      <c r="H635" s="47" t="n"/>
    </row>
    <row r="636">
      <c r="C636" s="7" t="n"/>
      <c r="D636" s="7" t="n"/>
      <c r="H636" s="47" t="n"/>
    </row>
    <row r="637">
      <c r="C637" s="7" t="n"/>
      <c r="D637" s="7" t="n"/>
      <c r="H637" s="47" t="n"/>
    </row>
    <row r="638">
      <c r="C638" s="7" t="n"/>
      <c r="D638" s="7" t="n"/>
      <c r="H638" s="47" t="n"/>
    </row>
    <row r="639">
      <c r="C639" s="7" t="n"/>
      <c r="D639" s="7" t="n"/>
      <c r="H639" s="47" t="n"/>
    </row>
    <row r="640">
      <c r="C640" s="7" t="n"/>
      <c r="D640" s="7" t="n"/>
      <c r="H640" s="47" t="n"/>
    </row>
    <row r="641">
      <c r="C641" s="7" t="n"/>
      <c r="D641" s="7" t="n"/>
      <c r="H641" s="47" t="n"/>
    </row>
    <row r="642">
      <c r="C642" s="7" t="n"/>
      <c r="D642" s="7" t="n"/>
      <c r="H642" s="47" t="n"/>
    </row>
    <row r="643">
      <c r="C643" s="7" t="n"/>
      <c r="D643" s="7" t="n"/>
      <c r="H643" s="47" t="n"/>
    </row>
    <row r="644">
      <c r="C644" s="7" t="n"/>
      <c r="D644" s="7" t="n"/>
      <c r="H644" s="47" t="n"/>
    </row>
    <row r="645">
      <c r="C645" s="7" t="n"/>
      <c r="D645" s="7" t="n"/>
      <c r="H645" s="47" t="n"/>
    </row>
    <row r="646">
      <c r="C646" s="7" t="n"/>
      <c r="D646" s="7" t="n"/>
      <c r="H646" s="47" t="n"/>
    </row>
    <row r="647">
      <c r="C647" s="7" t="n"/>
      <c r="D647" s="7" t="n"/>
      <c r="H647" s="47" t="n"/>
    </row>
    <row r="648">
      <c r="C648" s="7" t="n"/>
      <c r="D648" s="7" t="n"/>
      <c r="H648" s="47" t="n"/>
    </row>
    <row r="649">
      <c r="C649" s="7" t="n"/>
      <c r="D649" s="7" t="n"/>
      <c r="H649" s="47" t="n"/>
    </row>
    <row r="650">
      <c r="C650" s="7" t="n"/>
      <c r="D650" s="7" t="n"/>
      <c r="H650" s="47" t="n"/>
    </row>
    <row r="651">
      <c r="C651" s="7" t="n"/>
      <c r="D651" s="7" t="n"/>
      <c r="H651" s="47" t="n"/>
    </row>
    <row r="652">
      <c r="C652" s="7" t="n"/>
      <c r="D652" s="7" t="n"/>
      <c r="H652" s="47" t="n"/>
    </row>
    <row r="653">
      <c r="C653" s="7" t="n"/>
      <c r="D653" s="7" t="n"/>
      <c r="H653" s="47" t="n"/>
    </row>
    <row r="654">
      <c r="C654" s="7" t="n"/>
      <c r="D654" s="7" t="n"/>
      <c r="H654" s="47" t="n"/>
    </row>
    <row r="655">
      <c r="C655" s="7" t="n"/>
      <c r="D655" s="7" t="n"/>
      <c r="H655" s="47" t="n"/>
    </row>
    <row r="656">
      <c r="C656" s="7" t="n"/>
      <c r="D656" s="7" t="n"/>
      <c r="H656" s="47" t="n"/>
    </row>
    <row r="657">
      <c r="C657" s="7" t="n"/>
      <c r="D657" s="7" t="n"/>
      <c r="H657" s="47" t="n"/>
    </row>
    <row r="658" ht="43.5" customHeight="1">
      <c r="C658" s="7" t="n"/>
      <c r="D658" s="7" t="n"/>
      <c r="H658" s="47" t="n"/>
    </row>
    <row r="659" ht="43.5" customHeight="1">
      <c r="C659" s="7" t="n"/>
      <c r="D659" s="7" t="n"/>
      <c r="H659" s="47" t="n"/>
    </row>
    <row r="660">
      <c r="C660" s="7" t="n"/>
      <c r="D660" s="7" t="n"/>
      <c r="H660" s="47" t="n"/>
    </row>
    <row r="661">
      <c r="C661" s="7" t="n"/>
      <c r="D661" s="7" t="n"/>
      <c r="H661" s="47" t="n"/>
    </row>
    <row r="662">
      <c r="C662" s="7" t="n"/>
      <c r="D662" s="7" t="n"/>
      <c r="H662" s="47" t="n"/>
    </row>
    <row r="663">
      <c r="C663" s="7" t="n"/>
      <c r="D663" s="7" t="n"/>
      <c r="H663" s="47" t="n"/>
    </row>
    <row r="664">
      <c r="C664" s="7" t="n"/>
      <c r="D664" s="7" t="n"/>
      <c r="H664" s="47" t="n"/>
    </row>
    <row r="665">
      <c r="C665" s="7" t="n"/>
      <c r="D665" s="7" t="n"/>
      <c r="H665" s="47" t="n"/>
    </row>
    <row r="666">
      <c r="C666" s="7" t="n"/>
      <c r="D666" s="7" t="n"/>
      <c r="H666" s="47" t="n"/>
    </row>
    <row r="667">
      <c r="C667" s="7" t="n"/>
      <c r="D667" s="7" t="n"/>
      <c r="H667" s="47" t="n"/>
    </row>
    <row r="668">
      <c r="C668" s="7" t="n"/>
      <c r="D668" s="7" t="n"/>
      <c r="H668" s="47" t="n"/>
    </row>
    <row r="669">
      <c r="C669" s="7" t="n"/>
      <c r="D669" s="7" t="n"/>
      <c r="H669" s="47" t="n"/>
    </row>
    <row r="670">
      <c r="C670" s="7" t="n"/>
      <c r="D670" s="7" t="n"/>
      <c r="H670" s="47" t="n"/>
    </row>
    <row r="671">
      <c r="C671" s="7" t="n"/>
      <c r="D671" s="7" t="n"/>
      <c r="H671" s="47" t="n"/>
    </row>
    <row r="672">
      <c r="C672" s="7" t="n"/>
      <c r="D672" s="7" t="n"/>
      <c r="H672" s="47" t="n"/>
    </row>
    <row r="673">
      <c r="C673" s="7" t="n"/>
      <c r="D673" s="7" t="n"/>
      <c r="H673" s="47" t="n"/>
    </row>
    <row r="674">
      <c r="C674" s="7" t="n"/>
      <c r="D674" s="7" t="n"/>
      <c r="H674" s="47" t="n"/>
    </row>
    <row r="675">
      <c r="C675" s="7" t="n"/>
      <c r="D675" s="7" t="n"/>
      <c r="H675" s="47" t="n"/>
    </row>
    <row r="676">
      <c r="C676" s="7" t="n"/>
      <c r="D676" s="7" t="n"/>
      <c r="H676" s="47" t="n"/>
    </row>
    <row r="677">
      <c r="C677" s="7" t="n"/>
      <c r="D677" s="7" t="n"/>
      <c r="H677" s="47" t="n"/>
    </row>
    <row r="678">
      <c r="C678" s="7" t="n"/>
      <c r="D678" s="7" t="n"/>
      <c r="H678" s="47" t="n"/>
    </row>
    <row r="679">
      <c r="C679" s="7" t="n"/>
      <c r="D679" s="7" t="n"/>
      <c r="H679" s="47" t="n"/>
    </row>
    <row r="680">
      <c r="C680" s="7" t="n"/>
      <c r="D680" s="7" t="n"/>
      <c r="H680" s="47" t="n"/>
    </row>
    <row r="681">
      <c r="C681" s="7" t="n"/>
      <c r="D681" s="7" t="n"/>
      <c r="H681" s="47" t="n"/>
    </row>
    <row r="682">
      <c r="C682" s="7" t="n"/>
      <c r="D682" s="7" t="n"/>
      <c r="H682" s="47" t="n"/>
    </row>
    <row r="683">
      <c r="C683" s="7" t="n"/>
      <c r="D683" s="7" t="n"/>
      <c r="H683" s="47" t="n"/>
    </row>
    <row r="684">
      <c r="C684" s="7" t="n"/>
      <c r="D684" s="7" t="n"/>
      <c r="H684" s="47" t="n"/>
    </row>
    <row r="685">
      <c r="C685" s="7" t="n"/>
      <c r="D685" s="7" t="n"/>
      <c r="H685" s="47" t="n"/>
    </row>
    <row r="686">
      <c r="C686" s="7" t="n"/>
      <c r="D686" s="7" t="n"/>
      <c r="H686" s="47" t="n"/>
    </row>
    <row r="687">
      <c r="C687" s="7" t="n"/>
      <c r="D687" s="7" t="n"/>
      <c r="H687" s="47" t="n"/>
    </row>
    <row r="688">
      <c r="C688" s="7" t="n"/>
      <c r="D688" s="7" t="n"/>
      <c r="H688" s="47" t="n"/>
    </row>
    <row r="689">
      <c r="C689" s="7" t="n"/>
      <c r="D689" s="7" t="n"/>
      <c r="H689" s="47" t="n"/>
    </row>
    <row r="690">
      <c r="C690" s="7" t="n"/>
      <c r="D690" s="7" t="n"/>
      <c r="H690" s="47" t="n"/>
    </row>
    <row r="691">
      <c r="C691" s="7" t="n"/>
      <c r="D691" s="7" t="n"/>
      <c r="H691" s="47" t="n"/>
    </row>
    <row r="692">
      <c r="C692" s="7" t="n"/>
      <c r="D692" s="7" t="n"/>
      <c r="H692" s="47" t="n"/>
    </row>
    <row r="693">
      <c r="C693" s="7" t="n"/>
      <c r="D693" s="7" t="n"/>
      <c r="H693" s="47" t="n"/>
    </row>
    <row r="694">
      <c r="C694" s="7" t="n"/>
      <c r="D694" s="7" t="n"/>
      <c r="H694" s="47" t="n"/>
    </row>
    <row r="695">
      <c r="C695" s="7" t="n"/>
      <c r="D695" s="7" t="n"/>
      <c r="H695" s="47" t="n"/>
    </row>
    <row r="696">
      <c r="C696" s="7" t="n"/>
      <c r="D696" s="7" t="n"/>
      <c r="H696" s="47" t="n"/>
    </row>
    <row r="697">
      <c r="C697" s="7" t="n"/>
      <c r="D697" s="7" t="n"/>
      <c r="H697" s="47" t="n"/>
    </row>
    <row r="698">
      <c r="C698" s="7" t="n"/>
      <c r="D698" s="7" t="n"/>
      <c r="H698" s="47" t="n"/>
    </row>
    <row r="699">
      <c r="C699" s="7" t="n"/>
      <c r="D699" s="7" t="n"/>
      <c r="H699" s="47" t="n"/>
    </row>
    <row r="700">
      <c r="C700" s="7" t="n"/>
      <c r="D700" s="7" t="n"/>
      <c r="H700" s="47" t="n"/>
    </row>
    <row r="701">
      <c r="C701" s="7" t="n"/>
      <c r="D701" s="7" t="n"/>
      <c r="H701" s="47" t="n"/>
    </row>
    <row r="702">
      <c r="C702" s="7" t="n"/>
      <c r="D702" s="7" t="n"/>
      <c r="H702" s="47" t="n"/>
    </row>
    <row r="703">
      <c r="C703" s="7" t="n"/>
      <c r="D703" s="7" t="n"/>
      <c r="H703" s="47" t="n"/>
    </row>
    <row r="704">
      <c r="C704" s="7" t="n"/>
      <c r="D704" s="7" t="n"/>
      <c r="H704" s="47" t="n"/>
    </row>
    <row r="705">
      <c r="C705" s="7" t="n"/>
      <c r="D705" s="7" t="n"/>
      <c r="H705" s="47" t="n"/>
    </row>
    <row r="706">
      <c r="C706" s="7" t="n"/>
      <c r="D706" s="7" t="n"/>
      <c r="H706" s="47" t="n"/>
    </row>
    <row r="707">
      <c r="C707" s="7" t="n"/>
      <c r="D707" s="7" t="n"/>
      <c r="H707" s="47" t="n"/>
    </row>
    <row r="708">
      <c r="C708" s="7" t="n"/>
      <c r="D708" s="7" t="n"/>
      <c r="H708" s="47" t="n"/>
    </row>
    <row r="709">
      <c r="C709" s="7" t="n"/>
      <c r="D709" s="7" t="n"/>
      <c r="H709" s="47" t="n"/>
    </row>
    <row r="710">
      <c r="C710" s="7" t="n"/>
      <c r="D710" s="7" t="n"/>
      <c r="H710" s="47" t="n"/>
    </row>
    <row r="711">
      <c r="C711" s="7" t="n"/>
      <c r="D711" s="7" t="n"/>
      <c r="H711" s="47" t="n"/>
    </row>
    <row r="712">
      <c r="C712" s="7" t="n"/>
      <c r="D712" s="7" t="n"/>
      <c r="H712" s="47" t="n"/>
    </row>
    <row r="713">
      <c r="C713" s="7" t="n"/>
      <c r="D713" s="7" t="n"/>
      <c r="H713" s="47" t="n"/>
    </row>
    <row r="714">
      <c r="C714" s="7" t="n"/>
      <c r="D714" s="7" t="n"/>
      <c r="H714" s="47" t="n"/>
    </row>
    <row r="715">
      <c r="C715" s="7" t="n"/>
      <c r="D715" s="7" t="n"/>
      <c r="H715" s="47" t="n"/>
    </row>
    <row r="716">
      <c r="C716" s="7" t="n"/>
      <c r="D716" s="7" t="n"/>
      <c r="H716" s="47" t="n"/>
    </row>
    <row r="717">
      <c r="C717" s="7" t="n"/>
      <c r="D717" s="7" t="n"/>
      <c r="H717" s="47" t="n"/>
    </row>
    <row r="718">
      <c r="C718" s="7" t="n"/>
      <c r="D718" s="7" t="n"/>
      <c r="H718" s="47" t="n"/>
    </row>
    <row r="719">
      <c r="C719" s="7" t="n"/>
      <c r="D719" s="7" t="n"/>
      <c r="H719" s="47" t="n"/>
    </row>
    <row r="720">
      <c r="C720" s="7" t="n"/>
      <c r="D720" s="7" t="n"/>
      <c r="H720" s="47" t="n"/>
    </row>
    <row r="721">
      <c r="C721" s="7" t="n"/>
      <c r="D721" s="7" t="n"/>
      <c r="H721" s="47" t="n"/>
    </row>
    <row r="722">
      <c r="C722" s="7" t="n"/>
      <c r="D722" s="7" t="n"/>
      <c r="H722" s="47" t="n"/>
    </row>
    <row r="723">
      <c r="C723" s="7" t="n"/>
      <c r="D723" s="7" t="n"/>
      <c r="H723" s="47" t="n"/>
    </row>
    <row r="724">
      <c r="C724" s="7" t="n"/>
      <c r="D724" s="7" t="n"/>
      <c r="H724" s="47" t="n"/>
    </row>
    <row r="725">
      <c r="C725" s="7" t="n"/>
      <c r="D725" s="7" t="n"/>
      <c r="H725" s="47" t="n"/>
    </row>
    <row r="726">
      <c r="C726" s="7" t="n"/>
      <c r="D726" s="7" t="n"/>
      <c r="H726" s="47" t="n"/>
    </row>
    <row r="727">
      <c r="C727" s="7" t="n"/>
      <c r="D727" s="7" t="n"/>
      <c r="H727" s="47" t="n"/>
    </row>
    <row r="728">
      <c r="C728" s="7" t="n"/>
      <c r="D728" s="7" t="n"/>
      <c r="H728" s="47" t="n"/>
    </row>
    <row r="729">
      <c r="C729" s="7" t="n"/>
      <c r="D729" s="7" t="n"/>
      <c r="H729" s="47" t="n"/>
    </row>
    <row r="730">
      <c r="C730" s="7" t="n"/>
      <c r="D730" s="7" t="n"/>
      <c r="H730" s="47" t="n"/>
    </row>
    <row r="731">
      <c r="C731" s="7" t="n"/>
      <c r="D731" s="7" t="n"/>
      <c r="H731" s="47" t="n"/>
    </row>
    <row r="732">
      <c r="C732" s="7" t="n"/>
      <c r="D732" s="7" t="n"/>
      <c r="H732" s="47" t="n"/>
    </row>
    <row r="733">
      <c r="C733" s="7" t="n"/>
      <c r="D733" s="7" t="n"/>
      <c r="H733" s="47" t="n"/>
    </row>
    <row r="734">
      <c r="C734" s="7" t="n"/>
      <c r="D734" s="7" t="n"/>
      <c r="H734" s="47" t="n"/>
    </row>
    <row r="735">
      <c r="C735" s="7" t="n"/>
      <c r="D735" s="7" t="n"/>
      <c r="H735" s="47" t="n"/>
    </row>
    <row r="736">
      <c r="C736" s="7" t="n"/>
      <c r="D736" s="7" t="n"/>
      <c r="H736" s="47" t="n"/>
    </row>
    <row r="737">
      <c r="C737" s="7" t="n"/>
      <c r="D737" s="7" t="n"/>
      <c r="H737" s="47" t="n"/>
    </row>
    <row r="738">
      <c r="C738" s="7" t="n"/>
      <c r="D738" s="7" t="n"/>
      <c r="H738" s="47" t="n"/>
    </row>
    <row r="739">
      <c r="C739" s="7" t="n"/>
      <c r="D739" s="7" t="n"/>
      <c r="H739" s="47" t="n"/>
    </row>
    <row r="740">
      <c r="C740" s="7" t="n"/>
      <c r="D740" s="7" t="n"/>
      <c r="H740" s="47" t="n"/>
    </row>
    <row r="741">
      <c r="C741" s="7" t="n"/>
      <c r="D741" s="7" t="n"/>
      <c r="H741" s="47" t="n"/>
    </row>
    <row r="742">
      <c r="C742" s="7" t="n"/>
      <c r="D742" s="7" t="n"/>
      <c r="H742" s="47" t="n"/>
    </row>
    <row r="743">
      <c r="C743" s="7" t="n"/>
      <c r="D743" s="7" t="n"/>
      <c r="H743" s="47" t="n"/>
    </row>
    <row r="744">
      <c r="C744" s="7" t="n"/>
      <c r="D744" s="7" t="n"/>
      <c r="H744" s="47" t="n"/>
    </row>
    <row r="745">
      <c r="C745" s="7" t="n"/>
      <c r="D745" s="7" t="n"/>
      <c r="H745" s="47" t="n"/>
    </row>
    <row r="746">
      <c r="C746" s="7" t="n"/>
      <c r="D746" s="7" t="n"/>
      <c r="H746" s="47" t="n"/>
    </row>
    <row r="747">
      <c r="C747" s="7" t="n"/>
      <c r="D747" s="7" t="n"/>
      <c r="H747" s="47" t="n"/>
    </row>
    <row r="748">
      <c r="C748" s="7" t="n"/>
      <c r="D748" s="7" t="n"/>
      <c r="H748" s="47" t="n"/>
    </row>
    <row r="749">
      <c r="C749" s="7" t="n"/>
      <c r="D749" s="7" t="n"/>
      <c r="H749" s="47" t="n"/>
    </row>
    <row r="750">
      <c r="C750" s="7" t="n"/>
      <c r="D750" s="7" t="n"/>
      <c r="H750" s="47" t="n"/>
    </row>
    <row r="751">
      <c r="C751" s="7" t="n"/>
      <c r="D751" s="7" t="n"/>
      <c r="H751" s="47" t="n"/>
    </row>
    <row r="752">
      <c r="C752" s="7" t="n"/>
      <c r="D752" s="7" t="n"/>
      <c r="H752" s="47" t="n"/>
    </row>
    <row r="753">
      <c r="C753" s="7" t="n"/>
      <c r="D753" s="7" t="n"/>
      <c r="H753" s="47" t="n"/>
    </row>
    <row r="754">
      <c r="C754" s="7" t="n"/>
      <c r="D754" s="7" t="n"/>
      <c r="H754" s="47" t="n"/>
    </row>
    <row r="755">
      <c r="C755" s="7" t="n"/>
      <c r="D755" s="7" t="n"/>
      <c r="H755" s="47" t="n"/>
    </row>
    <row r="756">
      <c r="C756" s="7" t="n"/>
      <c r="D756" s="7" t="n"/>
      <c r="H756" s="47" t="n"/>
    </row>
    <row r="757">
      <c r="C757" s="7" t="n"/>
      <c r="D757" s="7" t="n"/>
      <c r="H757" s="47" t="n"/>
    </row>
    <row r="758">
      <c r="C758" s="7" t="n"/>
      <c r="D758" s="7" t="n"/>
      <c r="H758" s="47" t="n"/>
    </row>
    <row r="759">
      <c r="C759" s="7" t="n"/>
      <c r="D759" s="7" t="n"/>
      <c r="H759" s="47" t="n"/>
    </row>
    <row r="760">
      <c r="C760" s="7" t="n"/>
      <c r="D760" s="7" t="n"/>
      <c r="H760" s="47" t="n"/>
    </row>
    <row r="761">
      <c r="C761" s="7" t="n"/>
      <c r="D761" s="7" t="n"/>
      <c r="H761" s="47" t="n"/>
    </row>
    <row r="762">
      <c r="C762" s="7" t="n"/>
      <c r="D762" s="7" t="n"/>
      <c r="H762" s="47" t="n"/>
    </row>
    <row r="763">
      <c r="C763" s="7" t="n"/>
      <c r="D763" s="7" t="n"/>
      <c r="H763" s="47" t="n"/>
    </row>
    <row r="764">
      <c r="C764" s="7" t="n"/>
      <c r="D764" s="7" t="n"/>
      <c r="H764" s="47" t="n"/>
    </row>
    <row r="765">
      <c r="C765" s="7" t="n"/>
      <c r="D765" s="7" t="n"/>
      <c r="H765" s="47" t="n"/>
    </row>
    <row r="766">
      <c r="C766" s="7" t="n"/>
      <c r="D766" s="7" t="n"/>
      <c r="H766" s="47" t="n"/>
    </row>
    <row r="767">
      <c r="C767" s="7" t="n"/>
      <c r="D767" s="7" t="n"/>
      <c r="H767" s="47" t="n"/>
    </row>
    <row r="768">
      <c r="C768" s="7" t="n"/>
      <c r="D768" s="7" t="n"/>
      <c r="H768" s="47" t="n"/>
    </row>
    <row r="769">
      <c r="C769" s="7" t="n"/>
      <c r="D769" s="7" t="n"/>
      <c r="H769" s="47" t="n"/>
    </row>
    <row r="770">
      <c r="C770" s="7" t="n"/>
      <c r="D770" s="7" t="n"/>
      <c r="H770" s="47" t="n"/>
    </row>
    <row r="771">
      <c r="C771" s="7" t="n"/>
      <c r="D771" s="7" t="n"/>
      <c r="H771" s="47" t="n"/>
    </row>
    <row r="772">
      <c r="C772" s="7" t="n"/>
      <c r="D772" s="7" t="n"/>
      <c r="H772" s="47" t="n"/>
    </row>
    <row r="773">
      <c r="C773" s="7" t="n"/>
      <c r="D773" s="7" t="n"/>
      <c r="H773" s="47" t="n"/>
    </row>
    <row r="774">
      <c r="C774" s="7" t="n"/>
      <c r="D774" s="7" t="n"/>
      <c r="H774" s="47" t="n"/>
    </row>
    <row r="775">
      <c r="C775" s="7" t="n"/>
      <c r="D775" s="7" t="n"/>
      <c r="H775" s="47" t="n"/>
    </row>
    <row r="776">
      <c r="C776" s="7" t="n"/>
      <c r="D776" s="7" t="n"/>
      <c r="H776" s="47" t="n"/>
    </row>
    <row r="777">
      <c r="C777" s="7" t="n"/>
      <c r="D777" s="7" t="n"/>
      <c r="H777" s="47" t="n"/>
    </row>
    <row r="778">
      <c r="C778" s="7" t="n"/>
      <c r="D778" s="7" t="n"/>
      <c r="H778" s="47" t="n"/>
    </row>
    <row r="779">
      <c r="C779" s="7" t="n"/>
      <c r="D779" s="7" t="n"/>
      <c r="H779" s="47" t="n"/>
    </row>
    <row r="780">
      <c r="C780" s="7" t="n"/>
      <c r="D780" s="7" t="n"/>
      <c r="H780" s="47" t="n"/>
    </row>
    <row r="781">
      <c r="C781" s="7" t="n"/>
      <c r="D781" s="7" t="n"/>
      <c r="H781" s="47" t="n"/>
    </row>
    <row r="782">
      <c r="C782" s="7" t="n"/>
      <c r="D782" s="7" t="n"/>
      <c r="H782" s="47" t="n"/>
    </row>
    <row r="783">
      <c r="C783" s="7" t="n"/>
      <c r="D783" s="7" t="n"/>
      <c r="H783" s="47" t="n"/>
    </row>
    <row r="784">
      <c r="C784" s="7" t="n"/>
      <c r="D784" s="7" t="n"/>
      <c r="H784" s="47" t="n"/>
    </row>
    <row r="785">
      <c r="C785" s="7" t="n"/>
      <c r="D785" s="7" t="n"/>
      <c r="H785" s="47" t="n"/>
    </row>
    <row r="786">
      <c r="C786" s="7" t="n"/>
      <c r="D786" s="7" t="n"/>
      <c r="H786" s="47" t="n"/>
    </row>
    <row r="787" ht="29.25" customHeight="1">
      <c r="C787" s="7" t="n"/>
      <c r="D787" s="7" t="n"/>
      <c r="H787" s="47" t="n"/>
    </row>
    <row r="788" ht="29.25" customHeight="1">
      <c r="C788" s="7" t="n"/>
      <c r="D788" s="7" t="n"/>
      <c r="H788" s="47" t="n"/>
    </row>
    <row r="789">
      <c r="C789" s="7" t="n"/>
      <c r="D789" s="7" t="n"/>
      <c r="H789" s="47" t="n"/>
    </row>
    <row r="790">
      <c r="C790" s="7" t="n"/>
      <c r="D790" s="7" t="n"/>
      <c r="H790" s="47" t="n"/>
    </row>
    <row r="791">
      <c r="C791" s="7" t="n"/>
      <c r="D791" s="7" t="n"/>
      <c r="H791" s="47" t="n"/>
    </row>
    <row r="792">
      <c r="C792" s="7" t="n"/>
      <c r="D792" s="7" t="n"/>
      <c r="H792" s="47" t="n"/>
    </row>
    <row r="793">
      <c r="C793" s="7" t="n"/>
      <c r="D793" s="7" t="n"/>
      <c r="H793" s="47" t="n"/>
    </row>
    <row r="794">
      <c r="C794" s="7" t="n"/>
      <c r="D794" s="7" t="n"/>
      <c r="H794" s="47" t="n"/>
    </row>
    <row r="795">
      <c r="C795" s="7" t="n"/>
      <c r="D795" s="7" t="n"/>
      <c r="H795" s="47" t="n"/>
    </row>
    <row r="796">
      <c r="C796" s="7" t="n"/>
      <c r="D796" s="7" t="n"/>
      <c r="H796" s="47" t="n"/>
    </row>
    <row r="797">
      <c r="C797" s="7" t="n"/>
      <c r="D797" s="7" t="n"/>
      <c r="H797" s="47" t="n"/>
    </row>
    <row r="798">
      <c r="C798" s="7" t="n"/>
      <c r="D798" s="7" t="n"/>
      <c r="H798" s="47" t="n"/>
    </row>
    <row r="799">
      <c r="C799" s="7" t="n"/>
      <c r="D799" s="7" t="n"/>
      <c r="H799" s="47" t="n"/>
    </row>
    <row r="800">
      <c r="C800" s="7" t="n"/>
      <c r="D800" s="7" t="n"/>
      <c r="H800" s="47" t="n"/>
    </row>
    <row r="801">
      <c r="C801" s="7" t="n"/>
      <c r="D801" s="7" t="n"/>
      <c r="H801" s="47" t="n"/>
    </row>
    <row r="802">
      <c r="C802" s="7" t="n"/>
      <c r="D802" s="7" t="n"/>
      <c r="H802" s="47" t="n"/>
    </row>
    <row r="803">
      <c r="C803" s="7" t="n"/>
      <c r="D803" s="7" t="n"/>
      <c r="H803" s="47" t="n"/>
    </row>
    <row r="804">
      <c r="C804" s="7" t="n"/>
      <c r="D804" s="7" t="n"/>
      <c r="H804" s="47" t="n"/>
    </row>
    <row r="805">
      <c r="C805" s="7" t="n"/>
      <c r="D805" s="7" t="n"/>
      <c r="H805" s="47" t="n"/>
    </row>
    <row r="806">
      <c r="C806" s="7" t="n"/>
      <c r="D806" s="7" t="n"/>
      <c r="H806" s="47" t="n"/>
    </row>
    <row r="807">
      <c r="C807" s="7" t="n"/>
      <c r="D807" s="7" t="n"/>
      <c r="H807" s="47" t="n"/>
    </row>
    <row r="808">
      <c r="C808" s="7" t="n"/>
      <c r="D808" s="7" t="n"/>
      <c r="H808" s="47" t="n"/>
    </row>
    <row r="809">
      <c r="C809" s="7" t="n"/>
      <c r="D809" s="7" t="n"/>
      <c r="H809" s="47" t="n"/>
    </row>
    <row r="810">
      <c r="C810" s="7" t="n"/>
      <c r="D810" s="7" t="n"/>
      <c r="H810" s="47" t="n"/>
    </row>
    <row r="811">
      <c r="C811" s="7" t="n"/>
      <c r="D811" s="7" t="n"/>
      <c r="H811" s="47" t="n"/>
    </row>
    <row r="812">
      <c r="C812" s="7" t="n"/>
      <c r="D812" s="7" t="n"/>
      <c r="H812" s="47" t="n"/>
    </row>
    <row r="813">
      <c r="C813" s="7" t="n"/>
      <c r="D813" s="7" t="n"/>
      <c r="H813" s="47" t="n"/>
    </row>
    <row r="814">
      <c r="C814" s="7" t="n"/>
      <c r="D814" s="7" t="n"/>
      <c r="H814" s="47" t="n"/>
    </row>
    <row r="815">
      <c r="C815" s="7" t="n"/>
      <c r="D815" s="7" t="n"/>
      <c r="H815" s="47" t="n"/>
    </row>
    <row r="816">
      <c r="C816" s="7" t="n"/>
      <c r="D816" s="7" t="n"/>
      <c r="H816" s="47" t="n"/>
    </row>
    <row r="817">
      <c r="C817" s="7" t="n"/>
      <c r="D817" s="7" t="n"/>
      <c r="H817" s="47" t="n"/>
    </row>
    <row r="818">
      <c r="C818" s="7" t="n"/>
      <c r="D818" s="7" t="n"/>
      <c r="H818" s="47" t="n"/>
    </row>
    <row r="819">
      <c r="C819" s="7" t="n"/>
      <c r="D819" s="7" t="n"/>
      <c r="H819" s="47" t="n"/>
    </row>
    <row r="820">
      <c r="C820" s="7" t="n"/>
      <c r="D820" s="7" t="n"/>
      <c r="H820" s="47" t="n"/>
    </row>
    <row r="821">
      <c r="C821" s="7" t="n"/>
      <c r="D821" s="7" t="n"/>
      <c r="H821" s="47" t="n"/>
    </row>
    <row r="822">
      <c r="C822" s="7" t="n"/>
      <c r="D822" s="7" t="n"/>
      <c r="H822" s="47" t="n"/>
    </row>
    <row r="823">
      <c r="C823" s="7" t="n"/>
      <c r="D823" s="7" t="n"/>
      <c r="H823" s="47" t="n"/>
    </row>
    <row r="824">
      <c r="C824" s="7" t="n"/>
      <c r="D824" s="7" t="n"/>
      <c r="H824" s="47" t="n"/>
    </row>
    <row r="825">
      <c r="C825" s="7" t="n"/>
      <c r="D825" s="7" t="n"/>
      <c r="H825" s="47" t="n"/>
    </row>
    <row r="826" ht="29.25" customHeight="1">
      <c r="C826" s="7" t="n"/>
      <c r="D826" s="7" t="n"/>
      <c r="H826" s="47" t="n"/>
    </row>
    <row r="827">
      <c r="C827" s="7" t="n"/>
      <c r="D827" s="7" t="n"/>
      <c r="H827" s="47" t="n"/>
    </row>
    <row r="828">
      <c r="C828" s="7" t="n"/>
      <c r="D828" s="7" t="n"/>
      <c r="H828" s="47" t="n"/>
    </row>
    <row r="829">
      <c r="C829" s="7" t="n"/>
      <c r="D829" s="7" t="n"/>
      <c r="H829" s="47" t="n"/>
    </row>
    <row r="830">
      <c r="C830" s="7" t="n"/>
      <c r="D830" s="7" t="n"/>
      <c r="H830" s="47" t="n"/>
    </row>
    <row r="831">
      <c r="C831" s="7" t="n"/>
      <c r="D831" s="7" t="n"/>
      <c r="H831" s="47" t="n"/>
    </row>
    <row r="832">
      <c r="C832" s="7" t="n"/>
      <c r="D832" s="7" t="n"/>
      <c r="H832" s="47" t="n"/>
    </row>
    <row r="833">
      <c r="C833" s="7" t="n"/>
      <c r="D833" s="7" t="n"/>
      <c r="H833" s="47" t="n"/>
    </row>
    <row r="834">
      <c r="C834" s="7" t="n"/>
      <c r="D834" s="7" t="n"/>
      <c r="H834" s="47" t="n"/>
    </row>
    <row r="835">
      <c r="C835" s="7" t="n"/>
      <c r="D835" s="7" t="n"/>
      <c r="H835" s="47" t="n"/>
    </row>
    <row r="836">
      <c r="C836" s="7" t="n"/>
      <c r="D836" s="7" t="n"/>
      <c r="H836" s="47" t="n"/>
    </row>
    <row r="837">
      <c r="C837" s="7" t="n"/>
      <c r="D837" s="7" t="n"/>
      <c r="H837" s="47" t="n"/>
    </row>
    <row r="838">
      <c r="C838" s="7" t="n"/>
      <c r="D838" s="7" t="n"/>
      <c r="H838" s="47" t="n"/>
    </row>
    <row r="839">
      <c r="C839" s="7" t="n"/>
      <c r="D839" s="7" t="n"/>
      <c r="H839" s="47" t="n"/>
    </row>
    <row r="840">
      <c r="C840" s="7" t="n"/>
      <c r="D840" s="7" t="n"/>
      <c r="H840" s="47" t="n"/>
    </row>
    <row r="841">
      <c r="C841" s="7" t="n"/>
      <c r="D841" s="7" t="n"/>
      <c r="H841" s="47" t="n"/>
    </row>
    <row r="842">
      <c r="C842" s="7" t="n"/>
      <c r="D842" s="7" t="n"/>
      <c r="H842" s="47" t="n"/>
    </row>
    <row r="843">
      <c r="C843" s="7" t="n"/>
      <c r="D843" s="7" t="n"/>
      <c r="H843" s="47" t="n"/>
    </row>
    <row r="844">
      <c r="C844" s="7" t="n"/>
      <c r="D844" s="7" t="n"/>
      <c r="H844" s="47" t="n"/>
    </row>
    <row r="845">
      <c r="C845" s="7" t="n"/>
      <c r="D845" s="7" t="n"/>
      <c r="H845" s="47" t="n"/>
    </row>
    <row r="846">
      <c r="C846" s="7" t="n"/>
      <c r="D846" s="7" t="n"/>
      <c r="H846" s="47" t="n"/>
    </row>
    <row r="847">
      <c r="C847" s="7" t="n"/>
      <c r="D847" s="7" t="n"/>
      <c r="H847" s="47" t="n"/>
    </row>
    <row r="848">
      <c r="C848" s="7" t="n"/>
      <c r="D848" s="7" t="n"/>
      <c r="H848" s="47" t="n"/>
    </row>
    <row r="849">
      <c r="C849" s="7" t="n"/>
      <c r="D849" s="7" t="n"/>
      <c r="H849" s="47" t="n"/>
    </row>
    <row r="850">
      <c r="C850" s="7" t="n"/>
      <c r="D850" s="7" t="n"/>
      <c r="H850" s="47" t="n"/>
    </row>
    <row r="851">
      <c r="C851" s="7" t="n"/>
      <c r="D851" s="7" t="n"/>
      <c r="H851" s="47" t="n"/>
    </row>
    <row r="852">
      <c r="C852" s="7" t="n"/>
      <c r="D852" s="7" t="n"/>
      <c r="H852" s="47" t="n"/>
    </row>
    <row r="853">
      <c r="C853" s="7" t="n"/>
      <c r="D853" s="7" t="n"/>
      <c r="H853" s="47" t="n"/>
    </row>
    <row r="854">
      <c r="C854" s="7" t="n"/>
      <c r="D854" s="7" t="n"/>
      <c r="H854" s="47" t="n"/>
    </row>
    <row r="855">
      <c r="C855" s="7" t="n"/>
      <c r="D855" s="7" t="n"/>
      <c r="H855" s="47" t="n"/>
    </row>
    <row r="856">
      <c r="C856" s="7" t="n"/>
      <c r="D856" s="7" t="n"/>
      <c r="H856" s="47" t="n"/>
    </row>
    <row r="857">
      <c r="C857" s="7" t="n"/>
      <c r="D857" s="7" t="n"/>
      <c r="H857" s="47" t="n"/>
    </row>
    <row r="858">
      <c r="C858" s="7" t="n"/>
      <c r="D858" s="7" t="n"/>
      <c r="H858" s="47" t="n"/>
    </row>
    <row r="859">
      <c r="C859" s="7" t="n"/>
      <c r="D859" s="7" t="n"/>
      <c r="H859" s="47" t="n"/>
    </row>
    <row r="860">
      <c r="C860" s="7" t="n"/>
      <c r="D860" s="7" t="n"/>
      <c r="H860" s="47" t="n"/>
    </row>
    <row r="861">
      <c r="C861" s="7" t="n"/>
      <c r="D861" s="7" t="n"/>
      <c r="H861" s="47" t="n"/>
    </row>
    <row r="862">
      <c r="C862" s="7" t="n"/>
      <c r="D862" s="7" t="n"/>
      <c r="H862" s="47" t="n"/>
    </row>
    <row r="863">
      <c r="C863" s="7" t="n"/>
      <c r="D863" s="7" t="n"/>
      <c r="H863" s="47" t="n"/>
    </row>
    <row r="864">
      <c r="C864" s="7" t="n"/>
      <c r="D864" s="7" t="n"/>
      <c r="H864" s="47" t="n"/>
    </row>
    <row r="865">
      <c r="C865" s="7" t="n"/>
      <c r="D865" s="7" t="n"/>
      <c r="H865" s="47" t="n"/>
    </row>
    <row r="866">
      <c r="C866" s="7" t="n"/>
      <c r="D866" s="7" t="n"/>
      <c r="H866" s="47" t="n"/>
    </row>
    <row r="867">
      <c r="C867" s="7" t="n"/>
      <c r="D867" s="7" t="n"/>
      <c r="H867" s="47" t="n"/>
    </row>
    <row r="868">
      <c r="C868" s="7" t="n"/>
      <c r="D868" s="7" t="n"/>
      <c r="H868" s="47" t="n"/>
    </row>
    <row r="869">
      <c r="C869" s="7" t="n"/>
      <c r="D869" s="7" t="n"/>
      <c r="H869" s="47" t="n"/>
    </row>
    <row r="870">
      <c r="C870" s="7" t="n"/>
      <c r="D870" s="7" t="n"/>
      <c r="H870" s="47" t="n"/>
    </row>
    <row r="871">
      <c r="C871" s="7" t="n"/>
      <c r="D871" s="7" t="n"/>
      <c r="H871" s="47" t="n"/>
    </row>
    <row r="872">
      <c r="C872" s="7" t="n"/>
      <c r="D872" s="7" t="n"/>
      <c r="H872" s="47" t="n"/>
    </row>
    <row r="873">
      <c r="C873" s="7" t="n"/>
      <c r="D873" s="7" t="n"/>
      <c r="H873" s="47" t="n"/>
    </row>
    <row r="874">
      <c r="C874" s="7" t="n"/>
      <c r="D874" s="7" t="n"/>
      <c r="H874" s="47" t="n"/>
    </row>
    <row r="875">
      <c r="C875" s="7" t="n"/>
      <c r="D875" s="7" t="n"/>
      <c r="H875" s="47" t="n"/>
    </row>
    <row r="876">
      <c r="C876" s="7" t="n"/>
      <c r="D876" s="7" t="n"/>
      <c r="H876" s="47" t="n"/>
    </row>
    <row r="877">
      <c r="C877" s="7" t="n"/>
      <c r="D877" s="7" t="n"/>
      <c r="H877" s="47" t="n"/>
    </row>
    <row r="878">
      <c r="C878" s="7" t="n"/>
      <c r="D878" s="7" t="n"/>
      <c r="H878" s="47" t="n"/>
    </row>
    <row r="879">
      <c r="C879" s="7" t="n"/>
      <c r="D879" s="7" t="n"/>
      <c r="H879" s="47" t="n"/>
    </row>
    <row r="880">
      <c r="C880" s="7" t="n"/>
      <c r="D880" s="7" t="n"/>
      <c r="H880" s="47" t="n"/>
    </row>
    <row r="881">
      <c r="C881" s="7" t="n"/>
      <c r="D881" s="7" t="n"/>
      <c r="H881" s="47" t="n"/>
    </row>
    <row r="882">
      <c r="C882" s="7" t="n"/>
      <c r="D882" s="7" t="n"/>
      <c r="H882" s="47" t="n"/>
    </row>
    <row r="883">
      <c r="C883" s="7" t="n"/>
      <c r="D883" s="7" t="n"/>
      <c r="H883" s="47" t="n"/>
    </row>
    <row r="884">
      <c r="C884" s="7" t="n"/>
      <c r="D884" s="7" t="n"/>
      <c r="H884" s="47" t="n"/>
    </row>
    <row r="885">
      <c r="C885" s="7" t="n"/>
      <c r="D885" s="7" t="n"/>
      <c r="H885" s="47" t="n"/>
    </row>
    <row r="886">
      <c r="C886" s="7" t="n"/>
      <c r="D886" s="7" t="n"/>
      <c r="H886" s="47" t="n"/>
    </row>
    <row r="887">
      <c r="C887" s="7" t="n"/>
      <c r="D887" s="7" t="n"/>
      <c r="H887" s="47" t="n"/>
    </row>
    <row r="888">
      <c r="C888" s="7" t="n"/>
      <c r="D888" s="7" t="n"/>
      <c r="H888" s="47" t="n"/>
    </row>
    <row r="889">
      <c r="C889" s="7" t="n"/>
      <c r="D889" s="7" t="n"/>
      <c r="H889" s="47" t="n"/>
    </row>
    <row r="890">
      <c r="C890" s="7" t="n"/>
      <c r="D890" s="7" t="n"/>
      <c r="H890" s="47" t="n"/>
    </row>
    <row r="891">
      <c r="C891" s="7" t="n"/>
      <c r="D891" s="7" t="n"/>
      <c r="H891" s="47" t="n"/>
    </row>
    <row r="892">
      <c r="C892" s="7" t="n"/>
      <c r="D892" s="7" t="n"/>
      <c r="H892" s="47" t="n"/>
    </row>
    <row r="893">
      <c r="C893" s="7" t="n"/>
      <c r="D893" s="7" t="n"/>
      <c r="H893" s="47" t="n"/>
    </row>
    <row r="894">
      <c r="C894" s="7" t="n"/>
      <c r="D894" s="7" t="n"/>
      <c r="H894" s="47" t="n"/>
    </row>
    <row r="895">
      <c r="C895" s="7" t="n"/>
      <c r="D895" s="7" t="n"/>
      <c r="H895" s="47" t="n"/>
    </row>
    <row r="896">
      <c r="C896" s="7" t="n"/>
      <c r="D896" s="7" t="n"/>
      <c r="H896" s="47" t="n"/>
    </row>
    <row r="897">
      <c r="C897" s="7" t="n"/>
      <c r="D897" s="7" t="n"/>
      <c r="H897" s="47" t="n"/>
    </row>
    <row r="898">
      <c r="C898" s="7" t="n"/>
      <c r="D898" s="7" t="n"/>
      <c r="H898" s="47" t="n"/>
    </row>
    <row r="899">
      <c r="C899" s="7" t="n"/>
      <c r="D899" s="7" t="n"/>
      <c r="H899" s="47" t="n"/>
    </row>
    <row r="900">
      <c r="C900" s="7" t="n"/>
      <c r="D900" s="7" t="n"/>
      <c r="H900" s="47" t="n"/>
    </row>
    <row r="901">
      <c r="C901" s="7" t="n"/>
      <c r="D901" s="7" t="n"/>
      <c r="H901" s="47" t="n"/>
    </row>
    <row r="902">
      <c r="C902" s="7" t="n"/>
      <c r="D902" s="7" t="n"/>
      <c r="H902" s="47" t="n"/>
    </row>
    <row r="903">
      <c r="C903" s="7" t="n"/>
      <c r="D903" s="7" t="n"/>
      <c r="H903" s="47" t="n"/>
    </row>
    <row r="904">
      <c r="C904" s="7" t="n"/>
      <c r="D904" s="7" t="n"/>
      <c r="H904" s="47" t="n"/>
    </row>
    <row r="905">
      <c r="C905" s="7" t="n"/>
      <c r="D905" s="7" t="n"/>
      <c r="H905" s="47" t="n"/>
    </row>
    <row r="906" ht="43.5" customHeight="1">
      <c r="C906" s="7" t="n"/>
      <c r="D906" s="7" t="n"/>
      <c r="H906" s="47" t="n"/>
    </row>
    <row r="907" ht="43.5" customHeight="1">
      <c r="C907" s="7" t="n"/>
      <c r="D907" s="7" t="n"/>
      <c r="H907" s="47" t="n"/>
    </row>
    <row r="908">
      <c r="C908" s="7" t="n"/>
      <c r="D908" s="7" t="n"/>
      <c r="H908" s="47" t="n"/>
    </row>
    <row r="909">
      <c r="C909" s="7" t="n"/>
      <c r="D909" s="7" t="n"/>
      <c r="H909" s="47" t="n"/>
    </row>
    <row r="910">
      <c r="C910" s="7" t="n"/>
      <c r="D910" s="7" t="n"/>
      <c r="H910" s="47" t="n"/>
    </row>
    <row r="911">
      <c r="C911" s="7" t="n"/>
      <c r="D911" s="7" t="n"/>
      <c r="H911" s="47" t="n"/>
    </row>
    <row r="912">
      <c r="C912" s="7" t="n"/>
      <c r="D912" s="7" t="n"/>
      <c r="H912" s="47" t="n"/>
    </row>
    <row r="913">
      <c r="C913" s="7" t="n"/>
      <c r="D913" s="7" t="n"/>
      <c r="H913" s="47" t="n"/>
    </row>
    <row r="914">
      <c r="C914" s="7" t="n"/>
      <c r="D914" s="7" t="n"/>
      <c r="H914" s="47" t="n"/>
    </row>
    <row r="915">
      <c r="C915" s="7" t="n"/>
      <c r="D915" s="7" t="n"/>
      <c r="H915" s="47" t="n"/>
    </row>
    <row r="916">
      <c r="C916" s="7" t="n"/>
      <c r="D916" s="7" t="n"/>
      <c r="H916" s="47" t="n"/>
    </row>
    <row r="917">
      <c r="C917" s="7" t="n"/>
      <c r="D917" s="7" t="n"/>
      <c r="H917" s="47" t="n"/>
    </row>
    <row r="918">
      <c r="C918" s="7" t="n"/>
      <c r="D918" s="7" t="n"/>
      <c r="H918" s="47" t="n"/>
    </row>
    <row r="919">
      <c r="C919" s="7" t="n"/>
      <c r="D919" s="7" t="n"/>
      <c r="H919" s="47" t="n"/>
    </row>
    <row r="920">
      <c r="C920" s="7" t="n"/>
      <c r="D920" s="7" t="n"/>
      <c r="H920" s="47" t="n"/>
    </row>
    <row r="921">
      <c r="C921" s="7" t="n"/>
      <c r="D921" s="7" t="n"/>
      <c r="H921" s="47" t="n"/>
    </row>
    <row r="922">
      <c r="C922" s="7" t="n"/>
      <c r="D922" s="7" t="n"/>
      <c r="H922" s="47" t="n"/>
    </row>
    <row r="923">
      <c r="C923" s="7" t="n"/>
      <c r="D923" s="7" t="n"/>
      <c r="H923" s="47" t="n"/>
    </row>
    <row r="924">
      <c r="C924" s="7" t="n"/>
      <c r="D924" s="7" t="n"/>
      <c r="H924" s="47" t="n"/>
    </row>
    <row r="925">
      <c r="C925" s="7" t="n"/>
      <c r="D925" s="7" t="n"/>
      <c r="H925" s="47" t="n"/>
    </row>
    <row r="926">
      <c r="C926" s="7" t="n"/>
      <c r="D926" s="7" t="n"/>
      <c r="H926" s="47" t="n"/>
    </row>
    <row r="927">
      <c r="C927" s="7" t="n"/>
      <c r="D927" s="7" t="n"/>
      <c r="H927" s="47" t="n"/>
    </row>
    <row r="928">
      <c r="C928" s="7" t="n"/>
      <c r="D928" s="7" t="n"/>
      <c r="H928" s="47" t="n"/>
    </row>
    <row r="929">
      <c r="C929" s="7" t="n"/>
      <c r="D929" s="7" t="n"/>
      <c r="H929" s="47" t="n"/>
    </row>
    <row r="930">
      <c r="C930" s="7" t="n"/>
      <c r="D930" s="7" t="n"/>
      <c r="H930" s="47" t="n"/>
    </row>
    <row r="931">
      <c r="C931" s="7" t="n"/>
      <c r="D931" s="7" t="n"/>
      <c r="H931" s="47" t="n"/>
    </row>
    <row r="932">
      <c r="C932" s="7" t="n"/>
      <c r="D932" s="7" t="n"/>
      <c r="H932" s="47" t="n"/>
    </row>
    <row r="933">
      <c r="C933" s="7" t="n"/>
      <c r="D933" s="7" t="n"/>
      <c r="H933" s="47" t="n"/>
    </row>
    <row r="934">
      <c r="C934" s="7" t="n"/>
      <c r="D934" s="7" t="n"/>
      <c r="H934" s="47" t="n"/>
    </row>
    <row r="935">
      <c r="C935" s="7" t="n"/>
      <c r="D935" s="7" t="n"/>
      <c r="H935" s="47" t="n"/>
    </row>
    <row r="936">
      <c r="C936" s="7" t="n"/>
      <c r="D936" s="7" t="n"/>
      <c r="H936" s="47" t="n"/>
    </row>
    <row r="937">
      <c r="C937" s="7" t="n"/>
      <c r="D937" s="7" t="n"/>
      <c r="H937" s="47" t="n"/>
    </row>
    <row r="938">
      <c r="C938" s="7" t="n"/>
      <c r="D938" s="7" t="n"/>
      <c r="H938" s="47" t="n"/>
    </row>
    <row r="939">
      <c r="C939" s="7" t="n"/>
      <c r="D939" s="7" t="n"/>
      <c r="H939" s="47" t="n"/>
    </row>
    <row r="940">
      <c r="C940" s="7" t="n"/>
      <c r="D940" s="7" t="n"/>
      <c r="H940" s="47" t="n"/>
    </row>
    <row r="941">
      <c r="C941" s="7" t="n"/>
      <c r="D941" s="7" t="n"/>
      <c r="H941" s="47" t="n"/>
    </row>
    <row r="942">
      <c r="C942" s="7" t="n"/>
      <c r="D942" s="7" t="n"/>
      <c r="H942" s="47" t="n"/>
    </row>
    <row r="943">
      <c r="C943" s="7" t="n"/>
      <c r="D943" s="7" t="n"/>
      <c r="H943" s="47" t="n"/>
    </row>
    <row r="944">
      <c r="C944" s="7" t="n"/>
      <c r="D944" s="7" t="n"/>
      <c r="H944" s="47" t="n"/>
    </row>
    <row r="945">
      <c r="C945" s="7" t="n"/>
      <c r="D945" s="7" t="n"/>
      <c r="H945" s="47" t="n"/>
    </row>
    <row r="946">
      <c r="C946" s="7" t="n"/>
      <c r="D946" s="7" t="n"/>
      <c r="H946" s="47" t="n"/>
    </row>
    <row r="947">
      <c r="C947" s="7" t="n"/>
      <c r="D947" s="7" t="n"/>
      <c r="H947" s="47" t="n"/>
    </row>
    <row r="948">
      <c r="C948" s="7" t="n"/>
      <c r="D948" s="7" t="n"/>
      <c r="H948" s="47" t="n"/>
    </row>
    <row r="949">
      <c r="C949" s="7" t="n"/>
      <c r="D949" s="7" t="n"/>
      <c r="H949" s="47" t="n"/>
    </row>
    <row r="950">
      <c r="C950" s="7" t="n"/>
      <c r="D950" s="7" t="n"/>
      <c r="H950" s="47" t="n"/>
    </row>
    <row r="951">
      <c r="C951" s="7" t="n"/>
      <c r="D951" s="7" t="n"/>
      <c r="H951" s="47" t="n"/>
    </row>
    <row r="952">
      <c r="C952" s="7" t="n"/>
      <c r="D952" s="7" t="n"/>
      <c r="H952" s="47" t="n"/>
    </row>
    <row r="953">
      <c r="C953" s="7" t="n"/>
      <c r="D953" s="7" t="n"/>
      <c r="H953" s="47" t="n"/>
    </row>
    <row r="954" ht="29.25" customHeight="1">
      <c r="C954" s="7" t="n"/>
      <c r="D954" s="7" t="n"/>
      <c r="H954" s="47" t="n"/>
    </row>
    <row r="955" ht="29.25" customHeight="1">
      <c r="C955" s="7" t="n"/>
      <c r="D955" s="7" t="n"/>
      <c r="H955" s="47" t="n"/>
    </row>
    <row r="956">
      <c r="C956" s="7" t="n"/>
      <c r="D956" s="7" t="n"/>
      <c r="H956" s="47" t="n"/>
    </row>
    <row r="957">
      <c r="C957" s="7" t="n"/>
      <c r="D957" s="7" t="n"/>
      <c r="H957" s="47" t="n"/>
    </row>
    <row r="958">
      <c r="C958" s="7" t="n"/>
      <c r="D958" s="7" t="n"/>
      <c r="H958" s="47" t="n"/>
    </row>
    <row r="959">
      <c r="C959" s="7" t="n"/>
      <c r="D959" s="7" t="n"/>
      <c r="H959" s="47" t="n"/>
    </row>
    <row r="960">
      <c r="C960" s="7" t="n"/>
      <c r="D960" s="7" t="n"/>
      <c r="H960" s="47" t="n"/>
    </row>
    <row r="961">
      <c r="C961" s="7" t="n"/>
      <c r="D961" s="7" t="n"/>
      <c r="H961" s="47" t="n"/>
    </row>
    <row r="962">
      <c r="C962" s="7" t="n"/>
      <c r="D962" s="7" t="n"/>
      <c r="H962" s="47" t="n"/>
    </row>
    <row r="963">
      <c r="C963" s="7" t="n"/>
      <c r="D963" s="7" t="n"/>
      <c r="H963" s="47" t="n"/>
    </row>
    <row r="964">
      <c r="C964" s="7" t="n"/>
      <c r="D964" s="7" t="n"/>
      <c r="H964" s="47" t="n"/>
    </row>
    <row r="965">
      <c r="C965" s="7" t="n"/>
      <c r="D965" s="7" t="n"/>
      <c r="H965" s="47" t="n"/>
    </row>
    <row r="966">
      <c r="C966" s="7" t="n"/>
      <c r="D966" s="7" t="n"/>
      <c r="H966" s="47" t="n"/>
    </row>
    <row r="967">
      <c r="C967" s="7" t="n"/>
      <c r="D967" s="7" t="n"/>
      <c r="H967" s="47" t="n"/>
    </row>
    <row r="968">
      <c r="C968" s="7" t="n"/>
      <c r="D968" s="7" t="n"/>
      <c r="H968" s="47" t="n"/>
    </row>
    <row r="969">
      <c r="C969" s="7" t="n"/>
      <c r="D969" s="7" t="n"/>
      <c r="H969" s="47" t="n"/>
    </row>
    <row r="970">
      <c r="C970" s="7" t="n"/>
      <c r="D970" s="7" t="n"/>
      <c r="H970" s="47" t="n"/>
    </row>
    <row r="971">
      <c r="C971" s="7" t="n"/>
      <c r="D971" s="7" t="n"/>
      <c r="H971" s="47" t="n"/>
    </row>
    <row r="972">
      <c r="C972" s="7" t="n"/>
      <c r="D972" s="7" t="n"/>
      <c r="H972" s="47" t="n"/>
    </row>
    <row r="973">
      <c r="C973" s="7" t="n"/>
      <c r="D973" s="7" t="n"/>
      <c r="H973" s="47" t="n"/>
    </row>
    <row r="974">
      <c r="C974" s="7" t="n"/>
      <c r="D974" s="7" t="n"/>
      <c r="H974" s="47" t="n"/>
    </row>
    <row r="975">
      <c r="C975" s="7" t="n"/>
      <c r="D975" s="7" t="n"/>
      <c r="H975" s="47" t="n"/>
    </row>
    <row r="976">
      <c r="C976" s="7" t="n"/>
      <c r="D976" s="7" t="n"/>
      <c r="H976" s="47" t="n"/>
    </row>
    <row r="977">
      <c r="C977" s="7" t="n"/>
      <c r="D977" s="7" t="n"/>
      <c r="H977" s="47" t="n"/>
    </row>
    <row r="978">
      <c r="C978" s="7" t="n"/>
      <c r="D978" s="7" t="n"/>
      <c r="H978" s="47" t="n"/>
    </row>
    <row r="979">
      <c r="C979" s="7" t="n"/>
      <c r="D979" s="7" t="n"/>
      <c r="H979" s="47" t="n"/>
    </row>
    <row r="980">
      <c r="C980" s="7" t="n"/>
      <c r="D980" s="7" t="n"/>
      <c r="H980" s="47" t="n"/>
    </row>
    <row r="981">
      <c r="C981" s="7" t="n"/>
      <c r="D981" s="7" t="n"/>
      <c r="H981" s="47" t="n"/>
    </row>
    <row r="982">
      <c r="C982" s="7" t="n"/>
      <c r="D982" s="7" t="n"/>
      <c r="H982" s="47" t="n"/>
    </row>
    <row r="983">
      <c r="C983" s="7" t="n"/>
      <c r="D983" s="7" t="n"/>
      <c r="H983" s="47" t="n"/>
    </row>
    <row r="984">
      <c r="C984" s="7" t="n"/>
      <c r="D984" s="7" t="n"/>
      <c r="H984" s="47" t="n"/>
    </row>
    <row r="985">
      <c r="C985" s="7" t="n"/>
      <c r="D985" s="7" t="n"/>
      <c r="H985" s="47" t="n"/>
    </row>
    <row r="986">
      <c r="C986" s="7" t="n"/>
      <c r="D986" s="7" t="n"/>
      <c r="H986" s="47" t="n"/>
    </row>
    <row r="987">
      <c r="C987" s="7" t="n"/>
      <c r="D987" s="7" t="n"/>
      <c r="H987" s="47" t="n"/>
    </row>
    <row r="988">
      <c r="C988" s="7" t="n"/>
      <c r="D988" s="7" t="n"/>
      <c r="H988" s="47" t="n"/>
    </row>
    <row r="989">
      <c r="C989" s="7" t="n"/>
      <c r="D989" s="7" t="n"/>
      <c r="H989" s="47" t="n"/>
    </row>
    <row r="990">
      <c r="C990" s="7" t="n"/>
      <c r="D990" s="7" t="n"/>
      <c r="H990" s="47" t="n"/>
    </row>
    <row r="991">
      <c r="C991" s="7" t="n"/>
      <c r="D991" s="7" t="n"/>
      <c r="H991" s="47" t="n"/>
    </row>
    <row r="992">
      <c r="C992" s="7" t="n"/>
      <c r="D992" s="7" t="n"/>
      <c r="H992" s="47" t="n"/>
    </row>
    <row r="993">
      <c r="C993" s="7" t="n"/>
      <c r="D993" s="7" t="n"/>
      <c r="H993" s="47" t="n"/>
    </row>
    <row r="994">
      <c r="C994" s="7" t="n"/>
      <c r="D994" s="7" t="n"/>
      <c r="H994" s="47" t="n"/>
    </row>
    <row r="995">
      <c r="C995" s="7" t="n"/>
      <c r="D995" s="7" t="n"/>
      <c r="H995" s="47" t="n"/>
    </row>
    <row r="996">
      <c r="C996" s="7" t="n"/>
      <c r="D996" s="7" t="n"/>
      <c r="H996" s="47" t="n"/>
    </row>
    <row r="997">
      <c r="C997" s="7" t="n"/>
      <c r="D997" s="7" t="n"/>
      <c r="H997" s="47" t="n"/>
    </row>
    <row r="998">
      <c r="C998" s="7" t="n"/>
      <c r="D998" s="7" t="n"/>
      <c r="H998" s="47" t="n"/>
    </row>
    <row r="999">
      <c r="C999" s="7" t="n"/>
      <c r="D999" s="7" t="n"/>
      <c r="H999" s="47" t="n"/>
    </row>
    <row r="1000">
      <c r="C1000" s="7" t="n"/>
      <c r="D1000" s="7" t="n"/>
      <c r="H1000" s="47" t="n"/>
    </row>
    <row r="1001">
      <c r="C1001" s="7" t="n"/>
      <c r="D1001" s="7" t="n"/>
      <c r="H1001" s="47" t="n"/>
    </row>
    <row r="1002">
      <c r="C1002" s="7" t="n"/>
      <c r="D1002" s="7" t="n"/>
      <c r="H1002" s="47" t="n"/>
    </row>
    <row r="1003">
      <c r="C1003" s="7" t="n"/>
      <c r="D1003" s="7" t="n"/>
      <c r="H1003" s="47" t="n"/>
    </row>
    <row r="1004">
      <c r="C1004" s="7" t="n"/>
      <c r="D1004" s="7" t="n"/>
      <c r="H1004" s="47" t="n"/>
    </row>
    <row r="1005">
      <c r="C1005" s="7" t="n"/>
      <c r="D1005" s="7" t="n"/>
      <c r="H1005" s="47" t="n"/>
    </row>
    <row r="1006">
      <c r="C1006" s="7" t="n"/>
      <c r="D1006" s="7" t="n"/>
      <c r="H1006" s="47" t="n"/>
    </row>
    <row r="1007">
      <c r="C1007" s="7" t="n"/>
      <c r="D1007" s="7" t="n"/>
      <c r="H1007" s="47" t="n"/>
    </row>
    <row r="1008">
      <c r="C1008" s="7" t="n"/>
      <c r="D1008" s="7" t="n"/>
      <c r="H1008" s="47" t="n"/>
    </row>
    <row r="1009">
      <c r="C1009" s="7" t="n"/>
      <c r="D1009" s="7" t="n"/>
      <c r="H1009" s="47" t="n"/>
    </row>
    <row r="1010">
      <c r="C1010" s="7" t="n"/>
      <c r="D1010" s="7" t="n"/>
      <c r="H1010" s="47" t="n"/>
    </row>
    <row r="1011">
      <c r="C1011" s="7" t="n"/>
      <c r="D1011" s="7" t="n"/>
      <c r="H1011" s="47" t="n"/>
    </row>
    <row r="1012">
      <c r="C1012" s="7" t="n"/>
      <c r="D1012" s="7" t="n"/>
      <c r="H1012" s="47" t="n"/>
    </row>
    <row r="1013">
      <c r="C1013" s="7" t="n"/>
      <c r="D1013" s="7" t="n"/>
      <c r="H1013" s="47" t="n"/>
    </row>
    <row r="1014">
      <c r="C1014" s="7" t="n"/>
      <c r="D1014" s="7" t="n"/>
      <c r="H1014" s="47" t="n"/>
    </row>
    <row r="1015">
      <c r="C1015" s="7" t="n"/>
      <c r="D1015" s="7" t="n"/>
      <c r="H1015" s="47" t="n"/>
    </row>
    <row r="1016">
      <c r="C1016" s="7" t="n"/>
      <c r="D1016" s="7" t="n"/>
      <c r="H1016" s="47" t="n"/>
    </row>
    <row r="1017">
      <c r="C1017" s="7" t="n"/>
      <c r="D1017" s="7" t="n"/>
      <c r="H1017" s="47" t="n"/>
    </row>
    <row r="1018">
      <c r="C1018" s="7" t="n"/>
      <c r="D1018" s="7" t="n"/>
      <c r="H1018" s="47" t="n"/>
    </row>
    <row r="1019">
      <c r="C1019" s="7" t="n"/>
      <c r="D1019" s="7" t="n"/>
      <c r="H1019" s="47" t="n"/>
    </row>
    <row r="1020">
      <c r="C1020" s="7" t="n"/>
      <c r="D1020" s="7" t="n"/>
      <c r="H1020" s="47" t="n"/>
    </row>
    <row r="1021">
      <c r="C1021" s="7" t="n"/>
      <c r="D1021" s="7" t="n"/>
      <c r="H1021" s="47" t="n"/>
    </row>
    <row r="1022">
      <c r="C1022" s="7" t="n"/>
      <c r="D1022" s="7" t="n"/>
      <c r="H1022" s="47" t="n"/>
    </row>
    <row r="1023">
      <c r="C1023" s="7" t="n"/>
      <c r="D1023" s="7" t="n"/>
      <c r="H1023" s="47" t="n"/>
    </row>
    <row r="1024">
      <c r="C1024" s="7" t="n"/>
      <c r="D1024" s="7" t="n"/>
      <c r="H1024" s="47" t="n"/>
    </row>
    <row r="1025">
      <c r="C1025" s="7" t="n"/>
      <c r="D1025" s="7" t="n"/>
      <c r="H1025" s="47" t="n"/>
    </row>
    <row r="1026">
      <c r="C1026" s="7" t="n"/>
      <c r="D1026" s="7" t="n"/>
      <c r="H1026" s="47" t="n"/>
    </row>
    <row r="1027">
      <c r="C1027" s="7" t="n"/>
      <c r="D1027" s="7" t="n"/>
      <c r="H1027" s="47" t="n"/>
    </row>
    <row r="1028">
      <c r="C1028" s="7" t="n"/>
      <c r="D1028" s="7" t="n"/>
      <c r="H1028" s="47" t="n"/>
    </row>
    <row r="1029">
      <c r="C1029" s="7" t="n"/>
      <c r="D1029" s="7" t="n"/>
      <c r="H1029" s="47" t="n"/>
    </row>
    <row r="1030">
      <c r="C1030" s="7" t="n"/>
      <c r="D1030" s="7" t="n"/>
      <c r="H1030" s="47" t="n"/>
    </row>
    <row r="1031">
      <c r="C1031" s="7" t="n"/>
      <c r="D1031" s="7" t="n"/>
      <c r="H1031" s="47" t="n"/>
    </row>
    <row r="1032">
      <c r="C1032" s="7" t="n"/>
      <c r="D1032" s="7" t="n"/>
      <c r="H1032" s="47" t="n"/>
    </row>
    <row r="1033">
      <c r="C1033" s="7" t="n"/>
      <c r="D1033" s="7" t="n"/>
      <c r="H1033" s="47" t="n"/>
    </row>
    <row r="1034">
      <c r="C1034" s="7" t="n"/>
      <c r="D1034" s="7" t="n"/>
      <c r="H1034" s="47" t="n"/>
    </row>
    <row r="1035">
      <c r="C1035" s="7" t="n"/>
      <c r="D1035" s="7" t="n"/>
      <c r="H1035" s="47" t="n"/>
    </row>
    <row r="1036">
      <c r="C1036" s="7" t="n"/>
      <c r="D1036" s="7" t="n"/>
      <c r="H1036" s="47" t="n"/>
    </row>
    <row r="1037">
      <c r="C1037" s="7" t="n"/>
      <c r="D1037" s="7" t="n"/>
      <c r="H1037" s="47" t="n"/>
    </row>
    <row r="1038">
      <c r="C1038" s="7" t="n"/>
      <c r="D1038" s="7" t="n"/>
      <c r="H1038" s="47" t="n"/>
    </row>
    <row r="1039">
      <c r="C1039" s="7" t="n"/>
      <c r="D1039" s="7" t="n"/>
      <c r="H1039" s="47" t="n"/>
    </row>
    <row r="1040">
      <c r="C1040" s="7" t="n"/>
      <c r="D1040" s="7" t="n"/>
      <c r="H1040" s="47" t="n"/>
    </row>
    <row r="1041">
      <c r="C1041" s="7" t="n"/>
      <c r="D1041" s="7" t="n"/>
      <c r="H1041" s="47" t="n"/>
    </row>
    <row r="1042">
      <c r="C1042" s="7" t="n"/>
      <c r="D1042" s="7" t="n"/>
      <c r="H1042" s="47" t="n"/>
    </row>
    <row r="1043">
      <c r="C1043" s="7" t="n"/>
      <c r="D1043" s="7" t="n"/>
      <c r="H1043" s="47" t="n"/>
    </row>
    <row r="1044">
      <c r="C1044" s="7" t="n"/>
      <c r="D1044" s="7" t="n"/>
      <c r="H1044" s="47" t="n"/>
    </row>
    <row r="1045">
      <c r="C1045" s="7" t="n"/>
      <c r="D1045" s="7" t="n"/>
      <c r="H1045" s="47" t="n"/>
    </row>
    <row r="1046">
      <c r="C1046" s="7" t="n"/>
      <c r="D1046" s="7" t="n"/>
      <c r="H1046" s="47" t="n"/>
    </row>
    <row r="1047">
      <c r="C1047" s="7" t="n"/>
      <c r="D1047" s="7" t="n"/>
      <c r="H1047" s="47" t="n"/>
    </row>
    <row r="1048">
      <c r="C1048" s="7" t="n"/>
      <c r="D1048" s="7" t="n"/>
      <c r="H1048" s="47" t="n"/>
    </row>
    <row r="1049">
      <c r="C1049" s="7" t="n"/>
      <c r="D1049" s="7" t="n"/>
      <c r="H1049" s="47" t="n"/>
    </row>
    <row r="1050">
      <c r="C1050" s="7" t="n"/>
      <c r="D1050" s="7" t="n"/>
      <c r="H1050" s="47" t="n"/>
    </row>
    <row r="1051">
      <c r="C1051" s="7" t="n"/>
      <c r="D1051" s="7" t="n"/>
      <c r="H1051" s="47" t="n"/>
    </row>
    <row r="1052">
      <c r="C1052" s="7" t="n"/>
      <c r="D1052" s="7" t="n"/>
      <c r="H1052" s="47" t="n"/>
    </row>
    <row r="1053">
      <c r="C1053" s="7" t="n"/>
      <c r="D1053" s="7" t="n"/>
      <c r="H1053" s="47" t="n"/>
    </row>
    <row r="1054">
      <c r="C1054" s="7" t="n"/>
      <c r="D1054" s="7" t="n"/>
      <c r="H1054" s="47" t="n"/>
    </row>
    <row r="1055">
      <c r="C1055" s="7" t="n"/>
      <c r="D1055" s="7" t="n"/>
      <c r="H1055" s="47" t="n"/>
    </row>
    <row r="1056">
      <c r="C1056" s="7" t="n"/>
      <c r="D1056" s="7" t="n"/>
      <c r="H1056" s="47" t="n"/>
    </row>
    <row r="1057">
      <c r="C1057" s="7" t="n"/>
      <c r="D1057" s="7" t="n"/>
      <c r="H1057" s="47" t="n"/>
    </row>
    <row r="1058">
      <c r="C1058" s="7" t="n"/>
      <c r="D1058" s="7" t="n"/>
      <c r="H1058" s="47" t="n"/>
    </row>
    <row r="1059">
      <c r="C1059" s="7" t="n"/>
      <c r="D1059" s="7" t="n"/>
      <c r="H1059" s="47" t="n"/>
    </row>
    <row r="1060">
      <c r="C1060" s="7" t="n"/>
      <c r="D1060" s="7" t="n"/>
      <c r="H1060" s="47" t="n"/>
    </row>
    <row r="1061">
      <c r="C1061" s="7" t="n"/>
      <c r="D1061" s="7" t="n"/>
      <c r="H1061" s="47" t="n"/>
    </row>
    <row r="1062">
      <c r="C1062" s="7" t="n"/>
      <c r="D1062" s="7" t="n"/>
      <c r="H1062" s="47" t="n"/>
    </row>
    <row r="1063">
      <c r="C1063" s="7" t="n"/>
      <c r="D1063" s="7" t="n"/>
      <c r="H1063" s="47" t="n"/>
    </row>
    <row r="1064">
      <c r="C1064" s="7" t="n"/>
      <c r="D1064" s="7" t="n"/>
      <c r="H1064" s="47" t="n"/>
    </row>
    <row r="1065">
      <c r="C1065" s="7" t="n"/>
      <c r="D1065" s="7" t="n"/>
      <c r="H1065" s="47" t="n"/>
    </row>
    <row r="1066">
      <c r="C1066" s="7" t="n"/>
      <c r="D1066" s="7" t="n"/>
      <c r="H1066" s="47" t="n"/>
    </row>
    <row r="1067">
      <c r="C1067" s="7" t="n"/>
      <c r="D1067" s="7" t="n"/>
      <c r="H1067" s="47" t="n"/>
    </row>
    <row r="1068">
      <c r="C1068" s="7" t="n"/>
      <c r="D1068" s="7" t="n"/>
      <c r="H1068" s="47" t="n"/>
    </row>
    <row r="1069">
      <c r="C1069" s="7" t="n"/>
      <c r="D1069" s="7" t="n"/>
      <c r="H1069" s="47" t="n"/>
    </row>
    <row r="1070">
      <c r="C1070" s="7" t="n"/>
      <c r="D1070" s="7" t="n"/>
      <c r="H1070" s="47" t="n"/>
    </row>
    <row r="1071">
      <c r="C1071" s="7" t="n"/>
      <c r="D1071" s="7" t="n"/>
      <c r="H1071" s="47" t="n"/>
    </row>
    <row r="1072">
      <c r="C1072" s="7" t="n"/>
      <c r="D1072" s="7" t="n"/>
      <c r="H1072" s="47" t="n"/>
    </row>
    <row r="1073">
      <c r="C1073" s="7" t="n"/>
      <c r="D1073" s="7" t="n"/>
      <c r="H1073" s="47" t="n"/>
    </row>
    <row r="1074">
      <c r="C1074" s="7" t="n"/>
      <c r="D1074" s="7" t="n"/>
      <c r="H1074" s="47" t="n"/>
    </row>
    <row r="1075">
      <c r="C1075" s="7" t="n"/>
      <c r="D1075" s="7" t="n"/>
      <c r="H1075" s="47" t="n"/>
    </row>
    <row r="1076">
      <c r="C1076" s="7" t="n"/>
      <c r="D1076" s="7" t="n"/>
      <c r="H1076" s="47" t="n"/>
    </row>
    <row r="1077">
      <c r="C1077" s="7" t="n"/>
      <c r="D1077" s="7" t="n"/>
      <c r="H1077" s="47" t="n"/>
    </row>
    <row r="1078">
      <c r="C1078" s="7" t="n"/>
      <c r="D1078" s="7" t="n"/>
      <c r="H1078" s="47" t="n"/>
    </row>
    <row r="1079">
      <c r="C1079" s="7" t="n"/>
      <c r="D1079" s="7" t="n"/>
      <c r="H1079" s="47" t="n"/>
    </row>
    <row r="1080">
      <c r="C1080" s="7" t="n"/>
      <c r="D1080" s="7" t="n"/>
      <c r="H1080" s="47" t="n"/>
    </row>
    <row r="1081">
      <c r="C1081" s="7" t="n"/>
      <c r="D1081" s="7" t="n"/>
      <c r="H1081" s="47" t="n"/>
    </row>
    <row r="1082">
      <c r="C1082" s="7" t="n"/>
      <c r="D1082" s="7" t="n"/>
      <c r="H1082" s="47" t="n"/>
    </row>
    <row r="1083">
      <c r="C1083" s="7" t="n"/>
      <c r="D1083" s="7" t="n"/>
      <c r="H1083" s="47" t="n"/>
    </row>
    <row r="1084">
      <c r="C1084" s="7" t="n"/>
      <c r="D1084" s="7" t="n"/>
      <c r="H1084" s="47" t="n"/>
    </row>
    <row r="1085">
      <c r="C1085" s="7" t="n"/>
      <c r="D1085" s="7" t="n"/>
      <c r="H1085" s="47" t="n"/>
    </row>
    <row r="1086">
      <c r="C1086" s="7" t="n"/>
      <c r="D1086" s="7" t="n"/>
      <c r="H1086" s="47" t="n"/>
    </row>
    <row r="1087">
      <c r="C1087" s="7" t="n"/>
      <c r="D1087" s="7" t="n"/>
      <c r="H1087" s="47" t="n"/>
    </row>
    <row r="1088">
      <c r="C1088" s="7" t="n"/>
      <c r="D1088" s="7" t="n"/>
      <c r="H1088" s="47" t="n"/>
    </row>
    <row r="1089">
      <c r="C1089" s="7" t="n"/>
      <c r="D1089" s="7" t="n"/>
      <c r="H1089" s="47" t="n"/>
    </row>
    <row r="1090">
      <c r="C1090" s="7" t="n"/>
      <c r="D1090" s="7" t="n"/>
      <c r="H1090" s="47" t="n"/>
    </row>
    <row r="1091">
      <c r="C1091" s="7" t="n"/>
      <c r="D1091" s="7" t="n"/>
      <c r="H1091" s="47" t="n"/>
    </row>
    <row r="1092">
      <c r="C1092" s="7" t="n"/>
      <c r="D1092" s="7" t="n"/>
      <c r="H1092" s="47" t="n"/>
    </row>
    <row r="1093">
      <c r="C1093" s="7" t="n"/>
      <c r="D1093" s="7" t="n"/>
      <c r="H1093" s="47" t="n"/>
    </row>
    <row r="1094">
      <c r="C1094" s="7" t="n"/>
      <c r="D1094" s="7" t="n"/>
      <c r="H1094" s="47" t="n"/>
    </row>
    <row r="1095">
      <c r="C1095" s="7" t="n"/>
      <c r="D1095" s="7" t="n"/>
      <c r="H1095" s="47" t="n"/>
    </row>
    <row r="1096">
      <c r="C1096" s="7" t="n"/>
      <c r="D1096" s="7" t="n"/>
      <c r="H1096" s="47" t="n"/>
    </row>
    <row r="1097">
      <c r="C1097" s="7" t="n"/>
      <c r="D1097" s="7" t="n"/>
      <c r="H1097" s="47" t="n"/>
    </row>
    <row r="1098">
      <c r="C1098" s="7" t="n"/>
      <c r="D1098" s="7" t="n"/>
      <c r="H1098" s="47" t="n"/>
    </row>
    <row r="1099">
      <c r="C1099" s="7" t="n"/>
      <c r="D1099" s="7" t="n"/>
      <c r="H1099" s="47" t="n"/>
    </row>
    <row r="1100">
      <c r="C1100" s="7" t="n"/>
      <c r="D1100" s="7" t="n"/>
      <c r="H1100" s="47" t="n"/>
    </row>
    <row r="1101">
      <c r="C1101" s="7" t="n"/>
      <c r="D1101" s="7" t="n"/>
      <c r="H1101" s="47" t="n"/>
    </row>
    <row r="1102">
      <c r="C1102" s="7" t="n"/>
      <c r="D1102" s="7" t="n"/>
      <c r="H1102" s="47" t="n"/>
    </row>
    <row r="1103">
      <c r="C1103" s="7" t="n"/>
      <c r="D1103" s="7" t="n"/>
      <c r="H1103" s="47" t="n"/>
    </row>
    <row r="1104">
      <c r="C1104" s="7" t="n"/>
      <c r="D1104" s="7" t="n"/>
      <c r="H1104" s="47" t="n"/>
    </row>
    <row r="1105">
      <c r="C1105" s="7" t="n"/>
      <c r="D1105" s="7" t="n"/>
      <c r="H1105" s="47" t="n"/>
    </row>
    <row r="1106">
      <c r="C1106" s="7" t="n"/>
      <c r="D1106" s="7" t="n"/>
      <c r="H1106" s="47" t="n"/>
    </row>
    <row r="1107">
      <c r="C1107" s="7" t="n"/>
      <c r="D1107" s="7" t="n"/>
      <c r="H1107" s="47" t="n"/>
    </row>
    <row r="1108">
      <c r="C1108" s="7" t="n"/>
      <c r="D1108" s="7" t="n"/>
      <c r="H1108" s="47" t="n"/>
    </row>
    <row r="1109">
      <c r="C1109" s="7" t="n"/>
      <c r="D1109" s="7" t="n"/>
      <c r="H1109" s="47" t="n"/>
    </row>
    <row r="1110">
      <c r="C1110" s="7" t="n"/>
      <c r="D1110" s="7" t="n"/>
      <c r="H1110" s="47" t="n"/>
    </row>
    <row r="1111">
      <c r="C1111" s="7" t="n"/>
      <c r="D1111" s="7" t="n"/>
      <c r="H1111" s="47" t="n"/>
    </row>
    <row r="1112">
      <c r="C1112" s="7" t="n"/>
      <c r="D1112" s="7" t="n"/>
      <c r="H1112" s="47" t="n"/>
    </row>
    <row r="1113">
      <c r="C1113" s="7" t="n"/>
      <c r="D1113" s="7" t="n"/>
      <c r="H1113" s="47" t="n"/>
    </row>
    <row r="1114">
      <c r="C1114" s="7" t="n"/>
      <c r="D1114" s="7" t="n"/>
      <c r="H1114" s="47" t="n"/>
    </row>
    <row r="1115">
      <c r="C1115" s="7" t="n"/>
      <c r="D1115" s="7" t="n"/>
      <c r="H1115" s="47" t="n"/>
    </row>
    <row r="1116">
      <c r="C1116" s="7" t="n"/>
      <c r="D1116" s="7" t="n"/>
      <c r="H1116" s="47" t="n"/>
    </row>
    <row r="1117">
      <c r="C1117" s="7" t="n"/>
      <c r="D1117" s="7" t="n"/>
      <c r="H1117" s="47" t="n"/>
    </row>
    <row r="1118">
      <c r="C1118" s="7" t="n"/>
      <c r="D1118" s="7" t="n"/>
      <c r="H1118" s="47" t="n"/>
    </row>
    <row r="1119">
      <c r="C1119" s="7" t="n"/>
      <c r="D1119" s="7" t="n"/>
      <c r="H1119" s="47" t="n"/>
    </row>
    <row r="1120">
      <c r="C1120" s="7" t="n"/>
      <c r="D1120" s="7" t="n"/>
      <c r="H1120" s="47" t="n"/>
    </row>
    <row r="1121">
      <c r="C1121" s="7" t="n"/>
      <c r="D1121" s="7" t="n"/>
      <c r="H1121" s="47" t="n"/>
    </row>
    <row r="1122">
      <c r="C1122" s="7" t="n"/>
      <c r="D1122" s="7" t="n"/>
      <c r="H1122" s="47" t="n"/>
    </row>
    <row r="1123">
      <c r="C1123" s="7" t="n"/>
      <c r="D1123" s="7" t="n"/>
      <c r="H1123" s="47" t="n"/>
    </row>
    <row r="1124">
      <c r="C1124" s="7" t="n"/>
      <c r="D1124" s="7" t="n"/>
      <c r="H1124" s="47" t="n"/>
    </row>
    <row r="1125">
      <c r="C1125" s="7" t="n"/>
      <c r="D1125" s="7" t="n"/>
      <c r="H1125" s="47" t="n"/>
    </row>
    <row r="1126">
      <c r="C1126" s="7" t="n"/>
      <c r="D1126" s="7" t="n"/>
      <c r="H1126" s="47" t="n"/>
    </row>
    <row r="1127">
      <c r="C1127" s="7" t="n"/>
      <c r="D1127" s="7" t="n"/>
      <c r="H1127" s="47" t="n"/>
    </row>
    <row r="1128">
      <c r="C1128" s="7" t="n"/>
      <c r="D1128" s="7" t="n"/>
      <c r="H1128" s="47" t="n"/>
    </row>
    <row r="1129">
      <c r="C1129" s="7" t="n"/>
      <c r="D1129" s="7" t="n"/>
      <c r="H1129" s="47" t="n"/>
    </row>
    <row r="1130">
      <c r="C1130" s="7" t="n"/>
      <c r="D1130" s="7" t="n"/>
      <c r="H1130" s="47" t="n"/>
    </row>
    <row r="1131">
      <c r="C1131" s="7" t="n"/>
      <c r="D1131" s="7" t="n"/>
      <c r="H1131" s="47" t="n"/>
    </row>
    <row r="1132">
      <c r="C1132" s="7" t="n"/>
      <c r="D1132" s="7" t="n"/>
      <c r="H1132" s="47" t="n"/>
    </row>
    <row r="1133">
      <c r="C1133" s="7" t="n"/>
      <c r="D1133" s="7" t="n"/>
      <c r="H1133" s="47" t="n"/>
    </row>
    <row r="1134">
      <c r="C1134" s="7" t="n"/>
      <c r="D1134" s="7" t="n"/>
      <c r="H1134" s="47" t="n"/>
    </row>
    <row r="1135">
      <c r="C1135" s="7" t="n"/>
      <c r="D1135" s="7" t="n"/>
      <c r="H1135" s="47" t="n"/>
    </row>
    <row r="1136">
      <c r="C1136" s="7" t="n"/>
      <c r="D1136" s="7" t="n"/>
      <c r="H1136" s="47" t="n"/>
    </row>
    <row r="1137">
      <c r="C1137" s="7" t="n"/>
      <c r="D1137" s="7" t="n"/>
      <c r="H1137" s="47" t="n"/>
    </row>
    <row r="1138">
      <c r="C1138" s="7" t="n"/>
      <c r="D1138" s="7" t="n"/>
      <c r="H1138" s="47" t="n"/>
    </row>
    <row r="1139">
      <c r="C1139" s="7" t="n"/>
      <c r="D1139" s="7" t="n"/>
      <c r="H1139" s="47" t="n"/>
    </row>
    <row r="1140">
      <c r="C1140" s="7" t="n"/>
      <c r="D1140" s="7" t="n"/>
      <c r="H1140" s="47" t="n"/>
    </row>
    <row r="1141">
      <c r="C1141" s="7" t="n"/>
      <c r="D1141" s="7" t="n"/>
      <c r="H1141" s="47" t="n"/>
    </row>
    <row r="1142">
      <c r="C1142" s="7" t="n"/>
      <c r="D1142" s="7" t="n"/>
      <c r="H1142" s="47" t="n"/>
    </row>
    <row r="1143">
      <c r="C1143" s="7" t="n"/>
      <c r="D1143" s="7" t="n"/>
      <c r="H1143" s="47" t="n"/>
    </row>
    <row r="1144">
      <c r="C1144" s="7" t="n"/>
      <c r="D1144" s="7" t="n"/>
      <c r="H1144" s="47" t="n"/>
    </row>
    <row r="1145">
      <c r="C1145" s="7" t="n"/>
      <c r="D1145" s="7" t="n"/>
      <c r="H1145" s="47" t="n"/>
    </row>
    <row r="1146">
      <c r="C1146" s="7" t="n"/>
      <c r="D1146" s="7" t="n"/>
      <c r="H1146" s="47" t="n"/>
    </row>
    <row r="1147">
      <c r="C1147" s="7" t="n"/>
      <c r="D1147" s="7" t="n"/>
      <c r="H1147" s="47" t="n"/>
    </row>
    <row r="1148">
      <c r="C1148" s="7" t="n"/>
      <c r="D1148" s="7" t="n"/>
      <c r="H1148" s="47" t="n"/>
    </row>
    <row r="1149">
      <c r="C1149" s="7" t="n"/>
      <c r="D1149" s="7" t="n"/>
      <c r="H1149" s="47" t="n"/>
    </row>
    <row r="1150">
      <c r="C1150" s="7" t="n"/>
      <c r="D1150" s="7" t="n"/>
      <c r="H1150" s="47" t="n"/>
    </row>
    <row r="1151">
      <c r="C1151" s="7" t="n"/>
      <c r="D1151" s="7" t="n"/>
      <c r="H1151" s="47" t="n"/>
    </row>
    <row r="1152">
      <c r="C1152" s="7" t="n"/>
      <c r="D1152" s="7" t="n"/>
      <c r="H1152" s="47" t="n"/>
    </row>
    <row r="1153">
      <c r="C1153" s="7" t="n"/>
      <c r="D1153" s="7" t="n"/>
      <c r="H1153" s="47" t="n"/>
    </row>
    <row r="1154">
      <c r="C1154" s="7" t="n"/>
      <c r="D1154" s="7" t="n"/>
      <c r="H1154" s="47" t="n"/>
    </row>
    <row r="1155">
      <c r="C1155" s="7" t="n"/>
      <c r="D1155" s="7" t="n"/>
      <c r="H1155" s="47" t="n"/>
    </row>
    <row r="1156">
      <c r="C1156" s="7" t="n"/>
      <c r="D1156" s="7" t="n"/>
      <c r="H1156" s="47" t="n"/>
    </row>
    <row r="1157">
      <c r="C1157" s="7" t="n"/>
      <c r="D1157" s="7" t="n"/>
      <c r="H1157" s="47" t="n"/>
    </row>
    <row r="1158">
      <c r="C1158" s="7" t="n"/>
      <c r="D1158" s="7" t="n"/>
      <c r="H1158" s="47" t="n"/>
    </row>
    <row r="1159">
      <c r="C1159" s="7" t="n"/>
      <c r="D1159" s="7" t="n"/>
      <c r="H1159" s="47" t="n"/>
    </row>
    <row r="1160">
      <c r="C1160" s="7" t="n"/>
      <c r="D1160" s="7" t="n"/>
      <c r="H1160" s="47" t="n"/>
    </row>
    <row r="1161">
      <c r="C1161" s="7" t="n"/>
      <c r="D1161" s="7" t="n"/>
      <c r="H1161" s="47" t="n"/>
    </row>
    <row r="1162">
      <c r="C1162" s="7" t="n"/>
      <c r="D1162" s="7" t="n"/>
      <c r="H1162" s="47" t="n"/>
    </row>
    <row r="1163">
      <c r="C1163" s="7" t="n"/>
      <c r="D1163" s="7" t="n"/>
      <c r="H1163" s="47" t="n"/>
    </row>
    <row r="1164">
      <c r="C1164" s="7" t="n"/>
      <c r="D1164" s="7" t="n"/>
      <c r="H1164" s="47" t="n"/>
    </row>
    <row r="1165">
      <c r="C1165" s="7" t="n"/>
      <c r="D1165" s="7" t="n"/>
      <c r="H1165" s="47" t="n"/>
    </row>
    <row r="1166">
      <c r="C1166" s="7" t="n"/>
      <c r="D1166" s="7" t="n"/>
      <c r="H1166" s="47" t="n"/>
    </row>
    <row r="1167">
      <c r="C1167" s="7" t="n"/>
      <c r="D1167" s="7" t="n"/>
      <c r="H1167" s="47" t="n"/>
    </row>
    <row r="1168">
      <c r="C1168" s="7" t="n"/>
      <c r="D1168" s="7" t="n"/>
      <c r="H1168" s="47" t="n"/>
    </row>
    <row r="1169">
      <c r="C1169" s="7" t="n"/>
      <c r="D1169" s="7" t="n"/>
      <c r="H1169" s="47" t="n"/>
    </row>
    <row r="1170">
      <c r="C1170" s="7" t="n"/>
      <c r="D1170" s="7" t="n"/>
      <c r="H1170" s="47" t="n"/>
    </row>
    <row r="1171">
      <c r="C1171" s="7" t="n"/>
      <c r="D1171" s="7" t="n"/>
      <c r="H1171" s="47" t="n"/>
    </row>
    <row r="1172">
      <c r="C1172" s="7" t="n"/>
      <c r="D1172" s="7" t="n"/>
      <c r="H1172" s="47" t="n"/>
    </row>
    <row r="1173">
      <c r="C1173" s="7" t="n"/>
      <c r="D1173" s="7" t="n"/>
      <c r="H1173" s="47" t="n"/>
    </row>
    <row r="1174">
      <c r="C1174" s="7" t="n"/>
      <c r="D1174" s="7" t="n"/>
      <c r="H1174" s="47" t="n"/>
    </row>
    <row r="1175">
      <c r="C1175" s="7" t="n"/>
      <c r="D1175" s="7" t="n"/>
      <c r="H1175" s="47" t="n"/>
    </row>
    <row r="1176">
      <c r="C1176" s="7" t="n"/>
      <c r="D1176" s="7" t="n"/>
      <c r="H1176" s="47" t="n"/>
    </row>
    <row r="1177">
      <c r="C1177" s="7" t="n"/>
      <c r="D1177" s="7" t="n"/>
      <c r="H1177" s="47" t="n"/>
    </row>
    <row r="1178">
      <c r="C1178" s="7" t="n"/>
      <c r="D1178" s="7" t="n"/>
      <c r="H1178" s="47" t="n"/>
    </row>
    <row r="1179">
      <c r="C1179" s="7" t="n"/>
      <c r="D1179" s="7" t="n"/>
      <c r="H1179" s="47" t="n"/>
    </row>
    <row r="1180">
      <c r="C1180" s="7" t="n"/>
      <c r="D1180" s="7" t="n"/>
      <c r="H1180" s="47" t="n"/>
    </row>
    <row r="1181">
      <c r="C1181" s="7" t="n"/>
      <c r="D1181" s="7" t="n"/>
      <c r="H1181" s="47" t="n"/>
    </row>
    <row r="1182">
      <c r="C1182" s="7" t="n"/>
      <c r="D1182" s="7" t="n"/>
      <c r="H1182" s="47" t="n"/>
    </row>
    <row r="1183">
      <c r="C1183" s="7" t="n"/>
      <c r="D1183" s="7" t="n"/>
      <c r="H1183" s="47" t="n"/>
    </row>
    <row r="1184">
      <c r="C1184" s="7" t="n"/>
      <c r="D1184" s="7" t="n"/>
      <c r="H1184" s="47" t="n"/>
    </row>
    <row r="1185">
      <c r="C1185" s="7" t="n"/>
      <c r="D1185" s="7" t="n"/>
      <c r="H1185" s="47" t="n"/>
    </row>
    <row r="1186">
      <c r="C1186" s="7" t="n"/>
      <c r="D1186" s="7" t="n"/>
      <c r="H1186" s="47" t="n"/>
    </row>
    <row r="1187">
      <c r="C1187" s="7" t="n"/>
      <c r="D1187" s="7" t="n"/>
      <c r="H1187" s="47" t="n"/>
    </row>
    <row r="1188">
      <c r="C1188" s="7" t="n"/>
      <c r="D1188" s="7" t="n"/>
      <c r="H1188" s="47" t="n"/>
    </row>
    <row r="1189">
      <c r="C1189" s="7" t="n"/>
      <c r="D1189" s="7" t="n"/>
      <c r="H1189" s="47" t="n"/>
    </row>
    <row r="1190">
      <c r="C1190" s="7" t="n"/>
      <c r="D1190" s="7" t="n"/>
      <c r="H1190" s="47" t="n"/>
    </row>
    <row r="1191">
      <c r="C1191" s="7" t="n"/>
      <c r="D1191" s="7" t="n"/>
      <c r="H1191" s="47" t="n"/>
    </row>
    <row r="1192">
      <c r="C1192" s="7" t="n"/>
      <c r="D1192" s="7" t="n"/>
      <c r="H1192" s="47" t="n"/>
    </row>
    <row r="1193">
      <c r="C1193" s="7" t="n"/>
      <c r="D1193" s="7" t="n"/>
      <c r="H1193" s="47" t="n"/>
    </row>
    <row r="1194">
      <c r="C1194" s="7" t="n"/>
      <c r="D1194" s="7" t="n"/>
      <c r="H1194" s="47" t="n"/>
    </row>
    <row r="1195">
      <c r="C1195" s="7" t="n"/>
      <c r="D1195" s="7" t="n"/>
      <c r="H1195" s="47" t="n"/>
    </row>
    <row r="1196">
      <c r="C1196" s="7" t="n"/>
      <c r="D1196" s="7" t="n"/>
      <c r="H1196" s="47" t="n"/>
    </row>
    <row r="1197">
      <c r="C1197" s="7" t="n"/>
      <c r="D1197" s="7" t="n"/>
      <c r="H1197" s="47" t="n"/>
    </row>
    <row r="1198">
      <c r="C1198" s="7" t="n"/>
      <c r="D1198" s="7" t="n"/>
      <c r="H1198" s="47" t="n"/>
    </row>
    <row r="1199">
      <c r="C1199" s="7" t="n"/>
      <c r="D1199" s="7" t="n"/>
      <c r="H1199" s="47" t="n"/>
    </row>
    <row r="1200">
      <c r="C1200" s="7" t="n"/>
      <c r="D1200" s="7" t="n"/>
      <c r="H1200" s="47" t="n"/>
    </row>
    <row r="1201">
      <c r="C1201" s="7" t="n"/>
      <c r="D1201" s="7" t="n"/>
      <c r="H1201" s="47" t="n"/>
    </row>
    <row r="1202">
      <c r="C1202" s="7" t="n"/>
      <c r="D1202" s="7" t="n"/>
      <c r="H1202" s="47" t="n"/>
    </row>
    <row r="1203">
      <c r="C1203" s="7" t="n"/>
      <c r="D1203" s="7" t="n"/>
      <c r="H1203" s="47" t="n"/>
    </row>
    <row r="1204">
      <c r="C1204" s="7" t="n"/>
      <c r="D1204" s="7" t="n"/>
      <c r="H1204" s="47" t="n"/>
    </row>
    <row r="1205">
      <c r="C1205" s="7" t="n"/>
      <c r="D1205" s="7" t="n"/>
      <c r="H1205" s="47" t="n"/>
    </row>
    <row r="1206">
      <c r="C1206" s="7" t="n"/>
      <c r="D1206" s="7" t="n"/>
      <c r="H1206" s="47" t="n"/>
    </row>
    <row r="1207">
      <c r="C1207" s="7" t="n"/>
      <c r="D1207" s="7" t="n"/>
      <c r="H1207" s="47" t="n"/>
    </row>
    <row r="1208">
      <c r="C1208" s="7" t="n"/>
      <c r="D1208" s="7" t="n"/>
      <c r="H1208" s="47" t="n"/>
    </row>
    <row r="1209">
      <c r="C1209" s="7" t="n"/>
      <c r="D1209" s="7" t="n"/>
      <c r="H1209" s="47" t="n"/>
    </row>
    <row r="1210">
      <c r="C1210" s="7" t="n"/>
      <c r="D1210" s="7" t="n"/>
      <c r="H1210" s="47" t="n"/>
    </row>
    <row r="1211">
      <c r="C1211" s="7" t="n"/>
      <c r="D1211" s="7" t="n"/>
      <c r="H1211" s="47" t="n"/>
    </row>
    <row r="1212">
      <c r="C1212" s="7" t="n"/>
      <c r="D1212" s="7" t="n"/>
      <c r="H1212" s="47" t="n"/>
    </row>
    <row r="1213">
      <c r="C1213" s="7" t="n"/>
      <c r="D1213" s="7" t="n"/>
      <c r="H1213" s="47" t="n"/>
    </row>
    <row r="1214">
      <c r="C1214" s="7" t="n"/>
      <c r="D1214" s="7" t="n"/>
      <c r="H1214" s="47" t="n"/>
    </row>
    <row r="1215">
      <c r="C1215" s="7" t="n"/>
      <c r="D1215" s="7" t="n"/>
      <c r="H1215" s="47" t="n"/>
    </row>
    <row r="1216">
      <c r="C1216" s="7" t="n"/>
      <c r="D1216" s="7" t="n"/>
      <c r="H1216" s="47" t="n"/>
    </row>
    <row r="1217">
      <c r="C1217" s="7" t="n"/>
      <c r="D1217" s="7" t="n"/>
      <c r="H1217" s="47" t="n"/>
    </row>
    <row r="1218">
      <c r="C1218" s="7" t="n"/>
      <c r="D1218" s="7" t="n"/>
      <c r="H1218" s="47" t="n"/>
    </row>
    <row r="1219">
      <c r="C1219" s="7" t="n"/>
      <c r="D1219" s="7" t="n"/>
      <c r="H1219" s="47" t="n"/>
    </row>
    <row r="1220">
      <c r="C1220" s="7" t="n"/>
      <c r="D1220" s="7" t="n"/>
      <c r="H1220" s="47" t="n"/>
    </row>
    <row r="1221">
      <c r="C1221" s="7" t="n"/>
      <c r="D1221" s="7" t="n"/>
      <c r="H1221" s="47" t="n"/>
    </row>
    <row r="1222">
      <c r="C1222" s="7" t="n"/>
      <c r="D1222" s="7" t="n"/>
      <c r="H1222" s="47" t="n"/>
    </row>
    <row r="1223">
      <c r="C1223" s="7" t="n"/>
      <c r="D1223" s="7" t="n"/>
      <c r="H1223" s="47" t="n"/>
    </row>
    <row r="1224">
      <c r="C1224" s="7" t="n"/>
      <c r="D1224" s="7" t="n"/>
      <c r="H1224" s="47" t="n"/>
    </row>
    <row r="1225">
      <c r="C1225" s="7" t="n"/>
      <c r="D1225" s="7" t="n"/>
      <c r="H1225" s="47" t="n"/>
    </row>
    <row r="1226">
      <c r="C1226" s="7" t="n"/>
      <c r="D1226" s="7" t="n"/>
      <c r="H1226" s="47" t="n"/>
    </row>
    <row r="1227">
      <c r="C1227" s="7" t="n"/>
      <c r="D1227" s="7" t="n"/>
      <c r="H1227" s="47" t="n"/>
    </row>
    <row r="1228">
      <c r="C1228" s="7" t="n"/>
      <c r="D1228" s="7" t="n"/>
      <c r="H1228" s="47" t="n"/>
    </row>
    <row r="1229">
      <c r="C1229" s="7" t="n"/>
      <c r="D1229" s="7" t="n"/>
      <c r="H1229" s="47" t="n"/>
    </row>
    <row r="1230">
      <c r="C1230" s="7" t="n"/>
      <c r="D1230" s="7" t="n"/>
      <c r="H1230" s="47" t="n"/>
    </row>
    <row r="1231">
      <c r="C1231" s="7" t="n"/>
      <c r="D1231" s="7" t="n"/>
      <c r="H1231" s="47" t="n"/>
    </row>
    <row r="1232">
      <c r="C1232" s="7" t="n"/>
      <c r="D1232" s="7" t="n"/>
      <c r="H1232" s="47" t="n"/>
    </row>
    <row r="1233">
      <c r="C1233" s="7" t="n"/>
      <c r="D1233" s="7" t="n"/>
      <c r="H1233" s="47" t="n"/>
    </row>
    <row r="1234">
      <c r="C1234" s="7" t="n"/>
      <c r="D1234" s="7" t="n"/>
      <c r="H1234" s="47" t="n"/>
    </row>
    <row r="1235">
      <c r="C1235" s="7" t="n"/>
      <c r="D1235" s="7" t="n"/>
      <c r="H1235" s="47" t="n"/>
    </row>
    <row r="1236">
      <c r="C1236" s="7" t="n"/>
      <c r="D1236" s="7" t="n"/>
      <c r="H1236" s="47" t="n"/>
    </row>
    <row r="1237">
      <c r="C1237" s="7" t="n"/>
      <c r="D1237" s="7" t="n"/>
      <c r="H1237" s="47" t="n"/>
    </row>
    <row r="1238">
      <c r="C1238" s="7" t="n"/>
      <c r="D1238" s="7" t="n"/>
      <c r="H1238" s="47" t="n"/>
    </row>
    <row r="1239">
      <c r="C1239" s="7" t="n"/>
      <c r="D1239" s="7" t="n"/>
      <c r="H1239" s="47" t="n"/>
    </row>
    <row r="1240">
      <c r="C1240" s="7" t="n"/>
      <c r="D1240" s="7" t="n"/>
      <c r="H1240" s="47" t="n"/>
    </row>
    <row r="1241">
      <c r="C1241" s="7" t="n"/>
      <c r="D1241" s="7" t="n"/>
      <c r="H1241" s="47" t="n"/>
    </row>
    <row r="1242">
      <c r="C1242" s="7" t="n"/>
      <c r="D1242" s="7" t="n"/>
      <c r="H1242" s="47" t="n"/>
    </row>
    <row r="1243">
      <c r="C1243" s="7" t="n"/>
      <c r="D1243" s="7" t="n"/>
      <c r="H1243" s="47" t="n"/>
    </row>
    <row r="1244" ht="29.25" customHeight="1">
      <c r="C1244" s="7" t="n"/>
      <c r="D1244" s="7" t="n"/>
      <c r="H1244" s="47" t="n"/>
    </row>
    <row r="1245" ht="29.25" customHeight="1">
      <c r="C1245" s="7" t="n"/>
      <c r="D1245" s="7" t="n"/>
      <c r="H1245" s="47" t="n"/>
    </row>
    <row r="1246">
      <c r="C1246" s="7" t="n"/>
      <c r="D1246" s="7" t="n"/>
      <c r="H1246" s="47" t="n"/>
    </row>
    <row r="1247">
      <c r="C1247" s="7" t="n"/>
      <c r="D1247" s="7" t="n"/>
      <c r="H1247" s="47" t="n"/>
    </row>
    <row r="1248">
      <c r="C1248" s="7" t="n"/>
      <c r="D1248" s="7" t="n"/>
      <c r="H1248" s="47" t="n"/>
    </row>
    <row r="1249">
      <c r="C1249" s="7" t="n"/>
      <c r="D1249" s="7" t="n"/>
      <c r="H1249" s="47" t="n"/>
    </row>
    <row r="1250">
      <c r="C1250" s="7" t="n"/>
      <c r="D1250" s="7" t="n"/>
      <c r="H1250" s="47" t="n"/>
    </row>
    <row r="1251">
      <c r="C1251" s="7" t="n"/>
      <c r="D1251" s="7" t="n"/>
      <c r="H1251" s="47" t="n"/>
    </row>
    <row r="1252">
      <c r="C1252" s="7" t="n"/>
      <c r="D1252" s="7" t="n"/>
      <c r="H1252" s="47" t="n"/>
    </row>
    <row r="1253">
      <c r="C1253" s="7" t="n"/>
      <c r="D1253" s="7" t="n"/>
      <c r="H1253" s="47" t="n"/>
    </row>
    <row r="1254">
      <c r="C1254" s="7" t="n"/>
      <c r="D1254" s="7" t="n"/>
      <c r="H1254" s="47" t="n"/>
    </row>
    <row r="1255">
      <c r="C1255" s="7" t="n"/>
      <c r="D1255" s="7" t="n"/>
      <c r="H1255" s="47" t="n"/>
    </row>
    <row r="1256">
      <c r="C1256" s="7" t="n"/>
      <c r="D1256" s="7" t="n"/>
      <c r="H1256" s="47" t="n"/>
    </row>
    <row r="1257">
      <c r="C1257" s="7" t="n"/>
      <c r="D1257" s="7" t="n"/>
      <c r="H1257" s="47" t="n"/>
    </row>
    <row r="1258">
      <c r="C1258" s="7" t="n"/>
      <c r="D1258" s="7" t="n"/>
      <c r="H1258" s="47" t="n"/>
    </row>
    <row r="1259">
      <c r="C1259" s="7" t="n"/>
      <c r="D1259" s="7" t="n"/>
      <c r="H1259" s="47" t="n"/>
    </row>
    <row r="1260">
      <c r="C1260" s="7" t="n"/>
      <c r="D1260" s="7" t="n"/>
      <c r="H1260" s="47" t="n"/>
    </row>
    <row r="1261">
      <c r="C1261" s="7" t="n"/>
      <c r="D1261" s="7" t="n"/>
      <c r="H1261" s="47" t="n"/>
    </row>
    <row r="1262">
      <c r="C1262" s="7" t="n"/>
      <c r="D1262" s="7" t="n"/>
      <c r="H1262" s="47" t="n"/>
    </row>
    <row r="1263">
      <c r="C1263" s="7" t="n"/>
      <c r="D1263" s="7" t="n"/>
      <c r="H1263" s="47" t="n"/>
    </row>
    <row r="1264">
      <c r="C1264" s="7" t="n"/>
      <c r="D1264" s="7" t="n"/>
      <c r="H1264" s="47" t="n"/>
    </row>
    <row r="1265">
      <c r="C1265" s="7" t="n"/>
      <c r="D1265" s="7" t="n"/>
      <c r="H1265" s="47" t="n"/>
    </row>
    <row r="1266">
      <c r="C1266" s="7" t="n"/>
      <c r="D1266" s="7" t="n"/>
      <c r="H1266" s="47" t="n"/>
    </row>
    <row r="1267">
      <c r="C1267" s="7" t="n"/>
      <c r="D1267" s="7" t="n"/>
      <c r="H1267" s="47" t="n"/>
    </row>
    <row r="1268">
      <c r="C1268" s="7" t="n"/>
      <c r="D1268" s="7" t="n"/>
      <c r="H1268" s="47" t="n"/>
    </row>
    <row r="1269">
      <c r="C1269" s="7" t="n"/>
      <c r="D1269" s="7" t="n"/>
      <c r="H1269" s="47" t="n"/>
    </row>
    <row r="1270">
      <c r="C1270" s="7" t="n"/>
      <c r="D1270" s="7" t="n"/>
      <c r="H1270" s="47" t="n"/>
    </row>
    <row r="1271">
      <c r="C1271" s="7" t="n"/>
      <c r="D1271" s="7" t="n"/>
      <c r="H1271" s="47" t="n"/>
    </row>
    <row r="1272">
      <c r="C1272" s="7" t="n"/>
      <c r="D1272" s="7" t="n"/>
      <c r="H1272" s="47" t="n"/>
    </row>
    <row r="1273">
      <c r="C1273" s="7" t="n"/>
      <c r="D1273" s="7" t="n"/>
      <c r="H1273" s="47" t="n"/>
    </row>
    <row r="1274">
      <c r="C1274" s="7" t="n"/>
      <c r="D1274" s="7" t="n"/>
      <c r="H1274" s="47" t="n"/>
    </row>
    <row r="1275">
      <c r="C1275" s="7" t="n"/>
      <c r="D1275" s="7" t="n"/>
      <c r="H1275" s="47" t="n"/>
    </row>
    <row r="1276">
      <c r="C1276" s="7" t="n"/>
      <c r="D1276" s="7" t="n"/>
      <c r="H1276" s="47" t="n"/>
    </row>
    <row r="1277">
      <c r="C1277" s="7" t="n"/>
      <c r="D1277" s="7" t="n"/>
      <c r="H1277" s="47" t="n"/>
    </row>
    <row r="1278">
      <c r="C1278" s="7" t="n"/>
      <c r="D1278" s="7" t="n"/>
      <c r="H1278" s="47" t="n"/>
    </row>
    <row r="1279">
      <c r="C1279" s="7" t="n"/>
      <c r="D1279" s="7" t="n"/>
      <c r="H1279" s="47" t="n"/>
    </row>
    <row r="1280">
      <c r="C1280" s="7" t="n"/>
      <c r="D1280" s="7" t="n"/>
      <c r="H1280" s="47" t="n"/>
    </row>
    <row r="1281">
      <c r="C1281" s="7" t="n"/>
      <c r="D1281" s="7" t="n"/>
      <c r="H1281" s="47" t="n"/>
    </row>
    <row r="1282">
      <c r="C1282" s="7" t="n"/>
      <c r="D1282" s="7" t="n"/>
      <c r="H1282" s="47" t="n"/>
    </row>
    <row r="1283">
      <c r="C1283" s="7" t="n"/>
      <c r="D1283" s="7" t="n"/>
      <c r="H1283" s="47" t="n"/>
    </row>
    <row r="1284">
      <c r="C1284" s="7" t="n"/>
      <c r="D1284" s="7" t="n"/>
      <c r="H1284" s="47" t="n"/>
    </row>
    <row r="1285">
      <c r="C1285" s="7" t="n"/>
      <c r="D1285" s="7" t="n"/>
      <c r="H1285" s="47" t="n"/>
    </row>
    <row r="1286">
      <c r="C1286" s="7" t="n"/>
      <c r="D1286" s="7" t="n"/>
      <c r="H1286" s="47" t="n"/>
    </row>
    <row r="1287">
      <c r="C1287" s="7" t="n"/>
      <c r="D1287" s="7" t="n"/>
      <c r="H1287" s="47" t="n"/>
    </row>
    <row r="1288">
      <c r="C1288" s="7" t="n"/>
      <c r="D1288" s="7" t="n"/>
      <c r="H1288" s="47" t="n"/>
    </row>
    <row r="1289">
      <c r="C1289" s="7" t="n"/>
      <c r="D1289" s="7" t="n"/>
      <c r="H1289" s="47" t="n"/>
    </row>
    <row r="1290">
      <c r="C1290" s="7" t="n"/>
      <c r="D1290" s="7" t="n"/>
      <c r="H1290" s="47" t="n"/>
    </row>
    <row r="1291">
      <c r="C1291" s="7" t="n"/>
      <c r="D1291" s="7" t="n"/>
      <c r="H1291" s="47" t="n"/>
    </row>
    <row r="1292">
      <c r="C1292" s="7" t="n"/>
      <c r="D1292" s="7" t="n"/>
      <c r="H1292" s="47" t="n"/>
    </row>
    <row r="1293">
      <c r="C1293" s="7" t="n"/>
      <c r="D1293" s="7" t="n"/>
      <c r="H1293" s="47" t="n"/>
    </row>
    <row r="1294">
      <c r="C1294" s="7" t="n"/>
      <c r="D1294" s="7" t="n"/>
      <c r="H1294" s="47" t="n"/>
    </row>
    <row r="1295">
      <c r="C1295" s="7" t="n"/>
      <c r="D1295" s="7" t="n"/>
      <c r="H1295" s="47" t="n"/>
    </row>
    <row r="1296">
      <c r="C1296" s="7" t="n"/>
      <c r="D1296" s="7" t="n"/>
      <c r="H1296" s="47" t="n"/>
    </row>
    <row r="1297">
      <c r="C1297" s="7" t="n"/>
      <c r="D1297" s="7" t="n"/>
      <c r="H1297" s="47" t="n"/>
    </row>
    <row r="1298">
      <c r="C1298" s="7" t="n"/>
      <c r="D1298" s="7" t="n"/>
      <c r="H1298" s="47" t="n"/>
    </row>
    <row r="1299">
      <c r="C1299" s="7" t="n"/>
      <c r="D1299" s="7" t="n"/>
      <c r="H1299" s="47" t="n"/>
    </row>
    <row r="1300">
      <c r="C1300" s="7" t="n"/>
      <c r="D1300" s="7" t="n"/>
      <c r="H1300" s="47" t="n"/>
    </row>
    <row r="1301">
      <c r="C1301" s="7" t="n"/>
      <c r="D1301" s="7" t="n"/>
      <c r="H1301" s="47" t="n"/>
    </row>
    <row r="1302">
      <c r="C1302" s="7" t="n"/>
      <c r="D1302" s="7" t="n"/>
      <c r="H1302" s="47" t="n"/>
    </row>
    <row r="1303">
      <c r="C1303" s="7" t="n"/>
      <c r="D1303" s="7" t="n"/>
      <c r="H1303" s="47" t="n"/>
    </row>
    <row r="1304">
      <c r="C1304" s="7" t="n"/>
      <c r="D1304" s="7" t="n"/>
      <c r="H1304" s="47" t="n"/>
    </row>
    <row r="1305">
      <c r="C1305" s="7" t="n"/>
      <c r="D1305" s="7" t="n"/>
      <c r="H1305" s="47" t="n"/>
    </row>
    <row r="1306">
      <c r="C1306" s="7" t="n"/>
      <c r="D1306" s="7" t="n"/>
      <c r="H1306" s="47" t="n"/>
    </row>
    <row r="1307">
      <c r="C1307" s="7" t="n"/>
      <c r="D1307" s="7" t="n"/>
      <c r="H1307" s="47" t="n"/>
    </row>
    <row r="1308">
      <c r="C1308" s="7" t="n"/>
      <c r="D1308" s="7" t="n"/>
      <c r="H1308" s="47" t="n"/>
    </row>
    <row r="1309">
      <c r="C1309" s="7" t="n"/>
      <c r="D1309" s="7" t="n"/>
      <c r="H1309" s="47" t="n"/>
    </row>
    <row r="1310">
      <c r="C1310" s="7" t="n"/>
      <c r="D1310" s="7" t="n"/>
      <c r="H1310" s="47" t="n"/>
    </row>
    <row r="1311">
      <c r="C1311" s="7" t="n"/>
      <c r="D1311" s="7" t="n"/>
      <c r="H1311" s="47" t="n"/>
    </row>
    <row r="1312">
      <c r="C1312" s="7" t="n"/>
      <c r="D1312" s="7" t="n"/>
      <c r="H1312" s="47" t="n"/>
    </row>
    <row r="1313">
      <c r="C1313" s="7" t="n"/>
      <c r="D1313" s="7" t="n"/>
      <c r="H1313" s="47" t="n"/>
    </row>
    <row r="1314">
      <c r="C1314" s="7" t="n"/>
      <c r="D1314" s="7" t="n"/>
      <c r="H1314" s="47" t="n"/>
    </row>
    <row r="1315">
      <c r="C1315" s="7" t="n"/>
      <c r="D1315" s="7" t="n"/>
      <c r="H1315" s="47" t="n"/>
    </row>
    <row r="1316">
      <c r="C1316" s="7" t="n"/>
      <c r="D1316" s="7" t="n"/>
      <c r="H1316" s="47" t="n"/>
    </row>
    <row r="1317">
      <c r="C1317" s="7" t="n"/>
      <c r="D1317" s="7" t="n"/>
      <c r="H1317" s="47" t="n"/>
    </row>
    <row r="1318">
      <c r="C1318" s="7" t="n"/>
      <c r="D1318" s="7" t="n"/>
      <c r="H1318" s="47" t="n"/>
    </row>
    <row r="1319">
      <c r="C1319" s="7" t="n"/>
      <c r="D1319" s="7" t="n"/>
      <c r="H1319" s="47" t="n"/>
    </row>
    <row r="1320">
      <c r="C1320" s="7" t="n"/>
      <c r="D1320" s="7" t="n"/>
      <c r="H1320" s="47" t="n"/>
    </row>
    <row r="1321">
      <c r="C1321" s="7" t="n"/>
      <c r="D1321" s="7" t="n"/>
      <c r="H1321" s="47" t="n"/>
    </row>
    <row r="1322">
      <c r="C1322" s="7" t="n"/>
      <c r="D1322" s="7" t="n"/>
      <c r="H1322" s="47" t="n"/>
    </row>
    <row r="1323">
      <c r="C1323" s="7" t="n"/>
      <c r="D1323" s="7" t="n"/>
      <c r="H1323" s="47" t="n"/>
    </row>
    <row r="1324">
      <c r="C1324" s="7" t="n"/>
      <c r="D1324" s="7" t="n"/>
      <c r="H1324" s="47" t="n"/>
    </row>
    <row r="1325">
      <c r="C1325" s="7" t="n"/>
      <c r="D1325" s="7" t="n"/>
      <c r="H1325" s="47" t="n"/>
    </row>
    <row r="1326">
      <c r="C1326" s="7" t="n"/>
      <c r="D1326" s="7" t="n"/>
      <c r="H1326" s="47" t="n"/>
    </row>
    <row r="1327">
      <c r="C1327" s="7" t="n"/>
      <c r="D1327" s="7" t="n"/>
      <c r="H1327" s="47" t="n"/>
    </row>
    <row r="1328">
      <c r="C1328" s="7" t="n"/>
      <c r="D1328" s="7" t="n"/>
      <c r="H1328" s="47" t="n"/>
    </row>
    <row r="1329">
      <c r="C1329" s="7" t="n"/>
      <c r="D1329" s="7" t="n"/>
      <c r="H1329" s="47" t="n"/>
    </row>
    <row r="1330">
      <c r="C1330" s="7" t="n"/>
      <c r="D1330" s="7" t="n"/>
      <c r="H1330" s="47" t="n"/>
    </row>
    <row r="1331">
      <c r="C1331" s="7" t="n"/>
      <c r="D1331" s="7" t="n"/>
      <c r="H1331" s="47" t="n"/>
    </row>
    <row r="1332">
      <c r="C1332" s="7" t="n"/>
      <c r="D1332" s="7" t="n"/>
      <c r="H1332" s="47" t="n"/>
    </row>
    <row r="1333">
      <c r="C1333" s="7" t="n"/>
      <c r="D1333" s="7" t="n"/>
      <c r="H1333" s="47" t="n"/>
    </row>
    <row r="1334">
      <c r="C1334" s="7" t="n"/>
      <c r="D1334" s="7" t="n"/>
      <c r="H1334" s="47" t="n"/>
    </row>
    <row r="1335">
      <c r="C1335" s="7" t="n"/>
      <c r="D1335" s="7" t="n"/>
      <c r="H1335" s="47" t="n"/>
    </row>
    <row r="1336">
      <c r="C1336" s="7" t="n"/>
      <c r="D1336" s="7" t="n"/>
      <c r="H1336" s="47" t="n"/>
    </row>
    <row r="1337">
      <c r="C1337" s="7" t="n"/>
      <c r="D1337" s="7" t="n"/>
      <c r="H1337" s="47" t="n"/>
    </row>
    <row r="1338">
      <c r="C1338" s="7" t="n"/>
      <c r="D1338" s="7" t="n"/>
      <c r="H1338" s="47" t="n"/>
    </row>
    <row r="1339">
      <c r="C1339" s="7" t="n"/>
      <c r="D1339" s="7" t="n"/>
      <c r="H1339" s="47" t="n"/>
    </row>
    <row r="1340">
      <c r="C1340" s="7" t="n"/>
      <c r="D1340" s="7" t="n"/>
      <c r="H1340" s="47" t="n"/>
    </row>
    <row r="1341">
      <c r="C1341" s="7" t="n"/>
      <c r="D1341" s="7" t="n"/>
      <c r="H1341" s="47" t="n"/>
    </row>
    <row r="1342">
      <c r="C1342" s="7" t="n"/>
      <c r="D1342" s="7" t="n"/>
      <c r="H1342" s="47" t="n"/>
    </row>
    <row r="1343">
      <c r="C1343" s="7" t="n"/>
      <c r="D1343" s="7" t="n"/>
      <c r="H1343" s="47" t="n"/>
    </row>
    <row r="1344">
      <c r="C1344" s="7" t="n"/>
      <c r="D1344" s="7" t="n"/>
      <c r="H1344" s="47" t="n"/>
    </row>
    <row r="1345">
      <c r="C1345" s="7" t="n"/>
      <c r="D1345" s="7" t="n"/>
      <c r="H1345" s="47" t="n"/>
    </row>
    <row r="1346">
      <c r="C1346" s="7" t="n"/>
      <c r="D1346" s="7" t="n"/>
      <c r="H1346" s="47" t="n"/>
    </row>
    <row r="1347">
      <c r="C1347" s="7" t="n"/>
      <c r="D1347" s="7" t="n"/>
      <c r="H1347" s="47" t="n"/>
    </row>
    <row r="1348">
      <c r="C1348" s="7" t="n"/>
      <c r="D1348" s="7" t="n"/>
      <c r="H1348" s="47" t="n"/>
    </row>
    <row r="1349">
      <c r="C1349" s="7" t="n"/>
      <c r="D1349" s="7" t="n"/>
      <c r="H1349" s="47" t="n"/>
    </row>
    <row r="1350">
      <c r="C1350" s="7" t="n"/>
      <c r="D1350" s="7" t="n"/>
      <c r="H1350" s="47" t="n"/>
    </row>
    <row r="1351">
      <c r="C1351" s="7" t="n"/>
      <c r="D1351" s="7" t="n"/>
      <c r="H1351" s="47" t="n"/>
    </row>
    <row r="1352">
      <c r="C1352" s="7" t="n"/>
      <c r="D1352" s="7" t="n"/>
      <c r="H1352" s="47" t="n"/>
    </row>
    <row r="1353">
      <c r="C1353" s="7" t="n"/>
      <c r="D1353" s="7" t="n"/>
      <c r="H1353" s="47" t="n"/>
    </row>
    <row r="1354">
      <c r="C1354" s="7" t="n"/>
      <c r="D1354" s="7" t="n"/>
      <c r="H1354" s="47" t="n"/>
    </row>
    <row r="1355">
      <c r="C1355" s="7" t="n"/>
      <c r="D1355" s="7" t="n"/>
      <c r="H1355" s="47" t="n"/>
    </row>
    <row r="1356">
      <c r="C1356" s="7" t="n"/>
      <c r="D1356" s="7" t="n"/>
      <c r="H1356" s="47" t="n"/>
    </row>
    <row r="1357">
      <c r="C1357" s="7" t="n"/>
      <c r="D1357" s="7" t="n"/>
      <c r="H1357" s="47" t="n"/>
    </row>
    <row r="1358">
      <c r="C1358" s="7" t="n"/>
      <c r="D1358" s="7" t="n"/>
      <c r="H1358" s="47" t="n"/>
    </row>
    <row r="1359">
      <c r="C1359" s="7" t="n"/>
      <c r="D1359" s="7" t="n"/>
      <c r="H1359" s="47" t="n"/>
    </row>
    <row r="1360">
      <c r="C1360" s="7" t="n"/>
      <c r="D1360" s="7" t="n"/>
      <c r="H1360" s="47" t="n"/>
    </row>
    <row r="1361">
      <c r="C1361" s="7" t="n"/>
      <c r="D1361" s="7" t="n"/>
      <c r="H1361" s="47" t="n"/>
    </row>
    <row r="1362">
      <c r="C1362" s="7" t="n"/>
      <c r="D1362" s="7" t="n"/>
      <c r="H1362" s="47" t="n"/>
    </row>
    <row r="1363">
      <c r="C1363" s="7" t="n"/>
      <c r="D1363" s="7" t="n"/>
      <c r="H1363" s="47" t="n"/>
    </row>
    <row r="1364">
      <c r="C1364" s="7" t="n"/>
      <c r="D1364" s="7" t="n"/>
      <c r="H1364" s="47" t="n"/>
    </row>
    <row r="1365">
      <c r="C1365" s="7" t="n"/>
      <c r="D1365" s="7" t="n"/>
      <c r="H1365" s="47" t="n"/>
    </row>
    <row r="1366">
      <c r="C1366" s="7" t="n"/>
      <c r="D1366" s="7" t="n"/>
      <c r="H1366" s="47" t="n"/>
    </row>
    <row r="1367">
      <c r="C1367" s="7" t="n"/>
      <c r="D1367" s="7" t="n"/>
      <c r="H1367" s="47" t="n"/>
    </row>
    <row r="1368">
      <c r="C1368" s="7" t="n"/>
      <c r="D1368" s="7" t="n"/>
      <c r="H1368" s="47" t="n"/>
    </row>
    <row r="1369">
      <c r="C1369" s="7" t="n"/>
      <c r="D1369" s="7" t="n"/>
      <c r="H1369" s="47" t="n"/>
    </row>
    <row r="1370">
      <c r="C1370" s="7" t="n"/>
      <c r="D1370" s="7" t="n"/>
      <c r="H1370" s="47" t="n"/>
    </row>
    <row r="1371">
      <c r="C1371" s="7" t="n"/>
      <c r="D1371" s="7" t="n"/>
      <c r="H1371" s="47" t="n"/>
    </row>
    <row r="1372">
      <c r="C1372" s="7" t="n"/>
      <c r="D1372" s="7" t="n"/>
      <c r="H1372" s="47" t="n"/>
    </row>
    <row r="1373">
      <c r="C1373" s="7" t="n"/>
      <c r="D1373" s="7" t="n"/>
      <c r="H1373" s="47" t="n"/>
    </row>
    <row r="1374">
      <c r="C1374" s="7" t="n"/>
      <c r="D1374" s="7" t="n"/>
      <c r="H1374" s="47" t="n"/>
    </row>
    <row r="1375">
      <c r="C1375" s="7" t="n"/>
      <c r="D1375" s="7" t="n"/>
      <c r="H1375" s="47" t="n"/>
    </row>
    <row r="1376">
      <c r="C1376" s="7" t="n"/>
      <c r="D1376" s="7" t="n"/>
      <c r="H1376" s="47" t="n"/>
    </row>
    <row r="1377">
      <c r="C1377" s="7" t="n"/>
      <c r="D1377" s="7" t="n"/>
      <c r="H1377" s="47" t="n"/>
    </row>
    <row r="1378">
      <c r="C1378" s="7" t="n"/>
      <c r="D1378" s="7" t="n"/>
      <c r="H1378" s="47" t="n"/>
    </row>
    <row r="1379">
      <c r="C1379" s="7" t="n"/>
      <c r="D1379" s="7" t="n"/>
      <c r="H1379" s="47" t="n"/>
    </row>
    <row r="1380">
      <c r="C1380" s="7" t="n"/>
      <c r="D1380" s="7" t="n"/>
      <c r="H1380" s="47" t="n"/>
    </row>
    <row r="1381">
      <c r="C1381" s="7" t="n"/>
      <c r="D1381" s="7" t="n"/>
      <c r="H1381" s="47" t="n"/>
    </row>
    <row r="1382">
      <c r="C1382" s="7" t="n"/>
      <c r="D1382" s="7" t="n"/>
      <c r="H1382" s="47" t="n"/>
    </row>
    <row r="1383">
      <c r="C1383" s="7" t="n"/>
      <c r="D1383" s="7" t="n"/>
      <c r="H1383" s="47" t="n"/>
    </row>
    <row r="1384">
      <c r="C1384" s="7" t="n"/>
      <c r="D1384" s="7" t="n"/>
      <c r="H1384" s="47" t="n"/>
    </row>
    <row r="1385">
      <c r="C1385" s="7" t="n"/>
      <c r="D1385" s="7" t="n"/>
      <c r="H1385" s="47" t="n"/>
    </row>
    <row r="1386">
      <c r="C1386" s="7" t="n"/>
      <c r="D1386" s="7" t="n"/>
      <c r="H1386" s="47" t="n"/>
    </row>
    <row r="1387">
      <c r="C1387" s="7" t="n"/>
      <c r="D1387" s="7" t="n"/>
      <c r="H1387" s="47" t="n"/>
    </row>
    <row r="1388">
      <c r="C1388" s="7" t="n"/>
      <c r="D1388" s="7" t="n"/>
      <c r="H1388" s="47" t="n"/>
    </row>
    <row r="1389">
      <c r="C1389" s="7" t="n"/>
      <c r="D1389" s="7" t="n"/>
      <c r="H1389" s="47" t="n"/>
    </row>
    <row r="1390">
      <c r="C1390" s="7" t="n"/>
      <c r="D1390" s="7" t="n"/>
      <c r="H1390" s="47" t="n"/>
    </row>
    <row r="1391">
      <c r="C1391" s="7" t="n"/>
      <c r="D1391" s="7" t="n"/>
      <c r="H1391" s="47" t="n"/>
    </row>
    <row r="1392">
      <c r="C1392" s="7" t="n"/>
      <c r="D1392" s="7" t="n"/>
      <c r="H1392" s="47" t="n"/>
    </row>
    <row r="1393">
      <c r="C1393" s="7" t="n"/>
      <c r="D1393" s="7" t="n"/>
      <c r="H1393" s="47" t="n"/>
    </row>
    <row r="1394">
      <c r="C1394" s="7" t="n"/>
      <c r="D1394" s="7" t="n"/>
      <c r="H1394" s="47" t="n"/>
    </row>
    <row r="1395">
      <c r="C1395" s="7" t="n"/>
      <c r="D1395" s="7" t="n"/>
      <c r="H1395" s="47" t="n"/>
    </row>
    <row r="1396">
      <c r="C1396" s="7" t="n"/>
      <c r="D1396" s="7" t="n"/>
      <c r="H1396" s="47" t="n"/>
    </row>
    <row r="1397">
      <c r="C1397" s="7" t="n"/>
      <c r="D1397" s="7" t="n"/>
      <c r="H1397" s="47" t="n"/>
    </row>
    <row r="1398">
      <c r="C1398" s="7" t="n"/>
      <c r="D1398" s="7" t="n"/>
      <c r="H1398" s="47" t="n"/>
    </row>
    <row r="1399">
      <c r="C1399" s="7" t="n"/>
      <c r="D1399" s="7" t="n"/>
      <c r="H1399" s="47" t="n"/>
    </row>
    <row r="1400">
      <c r="C1400" s="7" t="n"/>
      <c r="D1400" s="7" t="n"/>
      <c r="H1400" s="47" t="n"/>
    </row>
    <row r="1401">
      <c r="C1401" s="7" t="n"/>
      <c r="D1401" s="7" t="n"/>
      <c r="H1401" s="47" t="n"/>
    </row>
    <row r="1402">
      <c r="C1402" s="7" t="n"/>
      <c r="D1402" s="7" t="n"/>
      <c r="H1402" s="47" t="n"/>
    </row>
    <row r="1403">
      <c r="C1403" s="7" t="n"/>
      <c r="D1403" s="7" t="n"/>
      <c r="H1403" s="47" t="n"/>
    </row>
    <row r="1404">
      <c r="C1404" s="7" t="n"/>
      <c r="D1404" s="7" t="n"/>
      <c r="H1404" s="47" t="n"/>
    </row>
    <row r="1405">
      <c r="C1405" s="7" t="n"/>
      <c r="D1405" s="7" t="n"/>
      <c r="H1405" s="47" t="n"/>
    </row>
    <row r="1406">
      <c r="C1406" s="7" t="n"/>
      <c r="D1406" s="7" t="n"/>
      <c r="H1406" s="47" t="n"/>
    </row>
    <row r="1407">
      <c r="C1407" s="7" t="n"/>
      <c r="D1407" s="7" t="n"/>
      <c r="H1407" s="47" t="n"/>
    </row>
    <row r="1408">
      <c r="C1408" s="7" t="n"/>
      <c r="D1408" s="7" t="n"/>
      <c r="H1408" s="47" t="n"/>
    </row>
    <row r="1409">
      <c r="C1409" s="7" t="n"/>
      <c r="D1409" s="7" t="n"/>
      <c r="H1409" s="47" t="n"/>
    </row>
    <row r="1410">
      <c r="C1410" s="7" t="n"/>
      <c r="D1410" s="7" t="n"/>
      <c r="H1410" s="47" t="n"/>
    </row>
    <row r="1411">
      <c r="C1411" s="7" t="n"/>
      <c r="D1411" s="7" t="n"/>
      <c r="H1411" s="47" t="n"/>
    </row>
    <row r="1412">
      <c r="C1412" s="7" t="n"/>
      <c r="D1412" s="7" t="n"/>
      <c r="H1412" s="47" t="n"/>
    </row>
    <row r="1413">
      <c r="C1413" s="7" t="n"/>
      <c r="D1413" s="7" t="n"/>
      <c r="H1413" s="47" t="n"/>
    </row>
    <row r="1414">
      <c r="C1414" s="7" t="n"/>
      <c r="D1414" s="7" t="n"/>
      <c r="H1414" s="47" t="n"/>
    </row>
    <row r="1415">
      <c r="C1415" s="7" t="n"/>
      <c r="D1415" s="7" t="n"/>
      <c r="H1415" s="47" t="n"/>
    </row>
    <row r="1416">
      <c r="C1416" s="7" t="n"/>
      <c r="D1416" s="7" t="n"/>
      <c r="H1416" s="47" t="n"/>
    </row>
    <row r="1417">
      <c r="C1417" s="7" t="n"/>
      <c r="D1417" s="7" t="n"/>
      <c r="H1417" s="47" t="n"/>
    </row>
    <row r="1418">
      <c r="C1418" s="7" t="n"/>
      <c r="D1418" s="7" t="n"/>
      <c r="H1418" s="47" t="n"/>
    </row>
    <row r="1419">
      <c r="C1419" s="7" t="n"/>
      <c r="D1419" s="7" t="n"/>
      <c r="H1419" s="47" t="n"/>
    </row>
    <row r="1420">
      <c r="C1420" s="7" t="n"/>
      <c r="D1420" s="7" t="n"/>
      <c r="H1420" s="47" t="n"/>
    </row>
    <row r="1421">
      <c r="C1421" s="7" t="n"/>
      <c r="D1421" s="7" t="n"/>
      <c r="H1421" s="47" t="n"/>
    </row>
    <row r="1422">
      <c r="C1422" s="7" t="n"/>
      <c r="D1422" s="7" t="n"/>
      <c r="H1422" s="47" t="n"/>
    </row>
    <row r="1423">
      <c r="C1423" s="7" t="n"/>
      <c r="D1423" s="7" t="n"/>
      <c r="H1423" s="47" t="n"/>
    </row>
    <row r="1424">
      <c r="C1424" s="7" t="n"/>
      <c r="D1424" s="7" t="n"/>
      <c r="H1424" s="47" t="n"/>
    </row>
    <row r="1425">
      <c r="C1425" s="7" t="n"/>
      <c r="D1425" s="7" t="n"/>
      <c r="H1425" s="47" t="n"/>
    </row>
    <row r="1426">
      <c r="C1426" s="7" t="n"/>
      <c r="D1426" s="7" t="n"/>
      <c r="H1426" s="47" t="n"/>
    </row>
    <row r="1427">
      <c r="C1427" s="7" t="n"/>
      <c r="D1427" s="7" t="n"/>
      <c r="H1427" s="47" t="n"/>
    </row>
    <row r="1428">
      <c r="C1428" s="7" t="n"/>
      <c r="D1428" s="7" t="n"/>
      <c r="H1428" s="47" t="n"/>
    </row>
    <row r="1429">
      <c r="C1429" s="7" t="n"/>
      <c r="D1429" s="7" t="n"/>
      <c r="H1429" s="47" t="n"/>
    </row>
    <row r="1430">
      <c r="C1430" s="7" t="n"/>
      <c r="D1430" s="7" t="n"/>
      <c r="H1430" s="47" t="n"/>
    </row>
    <row r="1431">
      <c r="C1431" s="7" t="n"/>
      <c r="D1431" s="7" t="n"/>
      <c r="H1431" s="47" t="n"/>
    </row>
    <row r="1432">
      <c r="C1432" s="7" t="n"/>
      <c r="D1432" s="7" t="n"/>
      <c r="H1432" s="47" t="n"/>
    </row>
    <row r="1433">
      <c r="C1433" s="7" t="n"/>
      <c r="D1433" s="7" t="n"/>
      <c r="H1433" s="47" t="n"/>
    </row>
    <row r="1434">
      <c r="C1434" s="7" t="n"/>
      <c r="D1434" s="7" t="n"/>
      <c r="H1434" s="47" t="n"/>
    </row>
    <row r="1435">
      <c r="C1435" s="7" t="n"/>
      <c r="D1435" s="7" t="n"/>
      <c r="H1435" s="47" t="n"/>
    </row>
    <row r="1436">
      <c r="C1436" s="7" t="n"/>
      <c r="D1436" s="7" t="n"/>
      <c r="H1436" s="47" t="n"/>
    </row>
    <row r="1437">
      <c r="C1437" s="7" t="n"/>
      <c r="D1437" s="7" t="n"/>
      <c r="H1437" s="47" t="n"/>
    </row>
    <row r="1438">
      <c r="C1438" s="7" t="n"/>
      <c r="D1438" s="7" t="n"/>
      <c r="H1438" s="47" t="n"/>
    </row>
    <row r="1439">
      <c r="C1439" s="7" t="n"/>
      <c r="D1439" s="7" t="n"/>
      <c r="H1439" s="47" t="n"/>
    </row>
    <row r="1440">
      <c r="C1440" s="7" t="n"/>
      <c r="D1440" s="7" t="n"/>
      <c r="H1440" s="47" t="n"/>
    </row>
    <row r="1441">
      <c r="C1441" s="7" t="n"/>
      <c r="D1441" s="7" t="n"/>
      <c r="H1441" s="47" t="n"/>
    </row>
    <row r="1442">
      <c r="C1442" s="7" t="n"/>
      <c r="D1442" s="7" t="n"/>
      <c r="H1442" s="47" t="n"/>
    </row>
    <row r="1443">
      <c r="C1443" s="7" t="n"/>
      <c r="D1443" s="7" t="n"/>
      <c r="H1443" s="47" t="n"/>
    </row>
    <row r="1444">
      <c r="C1444" s="7" t="n"/>
      <c r="D1444" s="7" t="n"/>
      <c r="H1444" s="47" t="n"/>
    </row>
    <row r="1445">
      <c r="C1445" s="7" t="n"/>
      <c r="D1445" s="7" t="n"/>
      <c r="H1445" s="47" t="n"/>
    </row>
    <row r="1446">
      <c r="C1446" s="7" t="n"/>
      <c r="D1446" s="7" t="n"/>
      <c r="H1446" s="47" t="n"/>
    </row>
    <row r="1447">
      <c r="C1447" s="7" t="n"/>
      <c r="D1447" s="7" t="n"/>
      <c r="H1447" s="47" t="n"/>
    </row>
    <row r="1448">
      <c r="C1448" s="7" t="n"/>
      <c r="D1448" s="7" t="n"/>
      <c r="H1448" s="47" t="n"/>
    </row>
    <row r="1449">
      <c r="C1449" s="7" t="n"/>
      <c r="D1449" s="7" t="n"/>
      <c r="H1449" s="47" t="n"/>
    </row>
    <row r="1450">
      <c r="C1450" s="7" t="n"/>
      <c r="D1450" s="7" t="n"/>
      <c r="H1450" s="47" t="n"/>
    </row>
    <row r="1451">
      <c r="C1451" s="7" t="n"/>
      <c r="D1451" s="7" t="n"/>
      <c r="H1451" s="47" t="n"/>
    </row>
    <row r="1452">
      <c r="C1452" s="7" t="n"/>
      <c r="D1452" s="7" t="n"/>
      <c r="H1452" s="47" t="n"/>
    </row>
    <row r="1453">
      <c r="C1453" s="7" t="n"/>
      <c r="D1453" s="7" t="n"/>
      <c r="H1453" s="47" t="n"/>
    </row>
    <row r="1454">
      <c r="C1454" s="7" t="n"/>
      <c r="D1454" s="7" t="n"/>
      <c r="H1454" s="47" t="n"/>
    </row>
    <row r="1455">
      <c r="C1455" s="7" t="n"/>
      <c r="D1455" s="7" t="n"/>
      <c r="H1455" s="47" t="n"/>
    </row>
    <row r="1456">
      <c r="C1456" s="7" t="n"/>
      <c r="D1456" s="7" t="n"/>
      <c r="H1456" s="47" t="n"/>
    </row>
    <row r="1457">
      <c r="C1457" s="7" t="n"/>
      <c r="D1457" s="7" t="n"/>
      <c r="H1457" s="47" t="n"/>
    </row>
    <row r="1458">
      <c r="C1458" s="7" t="n"/>
      <c r="D1458" s="7" t="n"/>
      <c r="H1458" s="47" t="n"/>
    </row>
    <row r="1459">
      <c r="C1459" s="7" t="n"/>
      <c r="D1459" s="7" t="n"/>
      <c r="H1459" s="47" t="n"/>
    </row>
    <row r="1460">
      <c r="C1460" s="7" t="n"/>
      <c r="D1460" s="7" t="n"/>
      <c r="H1460" s="47" t="n"/>
    </row>
    <row r="1461">
      <c r="C1461" s="7" t="n"/>
      <c r="D1461" s="7" t="n"/>
      <c r="H1461" s="47" t="n"/>
    </row>
    <row r="1462">
      <c r="C1462" s="7" t="n"/>
      <c r="D1462" s="7" t="n"/>
      <c r="H1462" s="47" t="n"/>
    </row>
    <row r="1463">
      <c r="C1463" s="7" t="n"/>
      <c r="D1463" s="7" t="n"/>
      <c r="H1463" s="47" t="n"/>
    </row>
    <row r="1464">
      <c r="C1464" s="7" t="n"/>
      <c r="D1464" s="7" t="n"/>
      <c r="H1464" s="47" t="n"/>
    </row>
    <row r="1465">
      <c r="C1465" s="7" t="n"/>
      <c r="D1465" s="7" t="n"/>
      <c r="H1465" s="47" t="n"/>
    </row>
    <row r="1466">
      <c r="C1466" s="7" t="n"/>
      <c r="D1466" s="7" t="n"/>
      <c r="H1466" s="47" t="n"/>
    </row>
    <row r="1467">
      <c r="C1467" s="7" t="n"/>
      <c r="D1467" s="7" t="n"/>
      <c r="H1467" s="47" t="n"/>
    </row>
    <row r="1468">
      <c r="C1468" s="7" t="n"/>
      <c r="D1468" s="7" t="n"/>
      <c r="H1468" s="47" t="n"/>
    </row>
    <row r="1469">
      <c r="C1469" s="7" t="n"/>
      <c r="D1469" s="7" t="n"/>
      <c r="H1469" s="47" t="n"/>
    </row>
    <row r="1470">
      <c r="C1470" s="7" t="n"/>
      <c r="D1470" s="7" t="n"/>
      <c r="H1470" s="47" t="n"/>
    </row>
    <row r="1471">
      <c r="C1471" s="7" t="n"/>
      <c r="D1471" s="7" t="n"/>
      <c r="H1471" s="47" t="n"/>
    </row>
    <row r="1472">
      <c r="C1472" s="7" t="n"/>
      <c r="D1472" s="7" t="n"/>
      <c r="H1472" s="47" t="n"/>
    </row>
    <row r="1473">
      <c r="C1473" s="7" t="n"/>
      <c r="D1473" s="7" t="n"/>
      <c r="H1473" s="47" t="n"/>
    </row>
    <row r="1474">
      <c r="C1474" s="7" t="n"/>
      <c r="D1474" s="7" t="n"/>
      <c r="H1474" s="47" t="n"/>
    </row>
    <row r="1475">
      <c r="C1475" s="7" t="n"/>
      <c r="D1475" s="7" t="n"/>
      <c r="H1475" s="47" t="n"/>
    </row>
    <row r="1476">
      <c r="C1476" s="7" t="n"/>
      <c r="D1476" s="7" t="n"/>
      <c r="H1476" s="47" t="n"/>
    </row>
    <row r="1477">
      <c r="C1477" s="7" t="n"/>
      <c r="D1477" s="7" t="n"/>
      <c r="H1477" s="47" t="n"/>
    </row>
    <row r="1478">
      <c r="C1478" s="7" t="n"/>
      <c r="D1478" s="7" t="n"/>
      <c r="H1478" s="47" t="n"/>
    </row>
    <row r="1479">
      <c r="C1479" s="7" t="n"/>
      <c r="D1479" s="7" t="n"/>
      <c r="H1479" s="47" t="n"/>
    </row>
    <row r="1480">
      <c r="C1480" s="7" t="n"/>
      <c r="D1480" s="7" t="n"/>
      <c r="H1480" s="47" t="n"/>
    </row>
    <row r="1481">
      <c r="C1481" s="7" t="n"/>
      <c r="D1481" s="7" t="n"/>
      <c r="H1481" s="47" t="n"/>
    </row>
    <row r="1482">
      <c r="C1482" s="7" t="n"/>
      <c r="D1482" s="7" t="n"/>
      <c r="H1482" s="47" t="n"/>
    </row>
    <row r="1483">
      <c r="C1483" s="7" t="n"/>
      <c r="D1483" s="7" t="n"/>
      <c r="H1483" s="47" t="n"/>
    </row>
    <row r="1484">
      <c r="C1484" s="7" t="n"/>
      <c r="D1484" s="7" t="n"/>
      <c r="H1484" s="47" t="n"/>
    </row>
    <row r="1485">
      <c r="C1485" s="7" t="n"/>
      <c r="D1485" s="7" t="n"/>
      <c r="H1485" s="47" t="n"/>
    </row>
    <row r="1486">
      <c r="C1486" s="7" t="n"/>
      <c r="D1486" s="7" t="n"/>
      <c r="H1486" s="47" t="n"/>
    </row>
    <row r="1487">
      <c r="C1487" s="7" t="n"/>
      <c r="D1487" s="7" t="n"/>
      <c r="H1487" s="47" t="n"/>
    </row>
    <row r="1488">
      <c r="C1488" s="7" t="n"/>
      <c r="D1488" s="7" t="n"/>
      <c r="H1488" s="47" t="n"/>
    </row>
    <row r="1489">
      <c r="C1489" s="7" t="n"/>
      <c r="D1489" s="7" t="n"/>
      <c r="H1489" s="47" t="n"/>
    </row>
    <row r="1490">
      <c r="C1490" s="7" t="n"/>
      <c r="D1490" s="7" t="n"/>
      <c r="H1490" s="47" t="n"/>
    </row>
    <row r="1491">
      <c r="C1491" s="7" t="n"/>
      <c r="D1491" s="7" t="n"/>
      <c r="H1491" s="47" t="n"/>
    </row>
    <row r="1492">
      <c r="C1492" s="7" t="n"/>
      <c r="D1492" s="7" t="n"/>
      <c r="H1492" s="47" t="n"/>
    </row>
    <row r="1493">
      <c r="C1493" s="7" t="n"/>
      <c r="D1493" s="7" t="n"/>
      <c r="H1493" s="47" t="n"/>
    </row>
    <row r="1494">
      <c r="C1494" s="7" t="n"/>
      <c r="D1494" s="7" t="n"/>
      <c r="H1494" s="47" t="n"/>
    </row>
    <row r="1495">
      <c r="C1495" s="7" t="n"/>
      <c r="D1495" s="7" t="n"/>
      <c r="H1495" s="47" t="n"/>
    </row>
    <row r="1496">
      <c r="C1496" s="7" t="n"/>
      <c r="D1496" s="7" t="n"/>
      <c r="H1496" s="47" t="n"/>
    </row>
    <row r="1497">
      <c r="C1497" s="7" t="n"/>
      <c r="D1497" s="7" t="n"/>
      <c r="H1497" s="47" t="n"/>
    </row>
    <row r="1498">
      <c r="C1498" s="7" t="n"/>
      <c r="D1498" s="7" t="n"/>
      <c r="H1498" s="47" t="n"/>
    </row>
    <row r="1499">
      <c r="C1499" s="7" t="n"/>
      <c r="D1499" s="7" t="n"/>
      <c r="H1499" s="47" t="n"/>
    </row>
    <row r="1500">
      <c r="C1500" s="7" t="n"/>
      <c r="D1500" s="7" t="n"/>
      <c r="H1500" s="47" t="n"/>
    </row>
    <row r="1501">
      <c r="C1501" s="7" t="n"/>
      <c r="D1501" s="7" t="n"/>
      <c r="H1501" s="47" t="n"/>
    </row>
    <row r="1502">
      <c r="C1502" s="7" t="n"/>
      <c r="D1502" s="7" t="n"/>
      <c r="H1502" s="47" t="n"/>
    </row>
    <row r="1503">
      <c r="C1503" s="7" t="n"/>
      <c r="D1503" s="7" t="n"/>
      <c r="H1503" s="47" t="n"/>
    </row>
    <row r="1504">
      <c r="C1504" s="7" t="n"/>
      <c r="D1504" s="7" t="n"/>
      <c r="H1504" s="47" t="n"/>
    </row>
    <row r="1505">
      <c r="C1505" s="7" t="n"/>
      <c r="D1505" s="7" t="n"/>
      <c r="H1505" s="47" t="n"/>
    </row>
    <row r="1506">
      <c r="C1506" s="7" t="n"/>
      <c r="D1506" s="7" t="n"/>
      <c r="H1506" s="47" t="n"/>
    </row>
    <row r="1507">
      <c r="C1507" s="7" t="n"/>
      <c r="D1507" s="7" t="n"/>
      <c r="H1507" s="47" t="n"/>
    </row>
    <row r="1508">
      <c r="C1508" s="7" t="n"/>
      <c r="D1508" s="7" t="n"/>
      <c r="H1508" s="47" t="n"/>
    </row>
    <row r="1509">
      <c r="C1509" s="7" t="n"/>
      <c r="D1509" s="7" t="n"/>
      <c r="H1509" s="47" t="n"/>
    </row>
    <row r="1510">
      <c r="C1510" s="7" t="n"/>
      <c r="D1510" s="7" t="n"/>
      <c r="H1510" s="47" t="n"/>
    </row>
    <row r="1511">
      <c r="C1511" s="7" t="n"/>
      <c r="D1511" s="7" t="n"/>
      <c r="H1511" s="47" t="n"/>
    </row>
    <row r="1512">
      <c r="C1512" s="7" t="n"/>
      <c r="D1512" s="7" t="n"/>
      <c r="H1512" s="47" t="n"/>
    </row>
    <row r="1513">
      <c r="C1513" s="7" t="n"/>
      <c r="D1513" s="7" t="n"/>
      <c r="H1513" s="47" t="n"/>
    </row>
    <row r="1514">
      <c r="C1514" s="7" t="n"/>
      <c r="D1514" s="7" t="n"/>
      <c r="H1514" s="47" t="n"/>
    </row>
    <row r="1515">
      <c r="C1515" s="7" t="n"/>
      <c r="D1515" s="7" t="n"/>
      <c r="H1515" s="47" t="n"/>
    </row>
    <row r="1516">
      <c r="C1516" s="7" t="n"/>
      <c r="D1516" s="7" t="n"/>
      <c r="H1516" s="47" t="n"/>
    </row>
    <row r="1517">
      <c r="C1517" s="7" t="n"/>
      <c r="D1517" s="7" t="n"/>
      <c r="H1517" s="47" t="n"/>
    </row>
    <row r="1518">
      <c r="C1518" s="7" t="n"/>
      <c r="D1518" s="7" t="n"/>
      <c r="H1518" s="47" t="n"/>
    </row>
    <row r="1519">
      <c r="C1519" s="7" t="n"/>
      <c r="D1519" s="7" t="n"/>
      <c r="H1519" s="47" t="n"/>
    </row>
    <row r="1520">
      <c r="C1520" s="7" t="n"/>
      <c r="D1520" s="7" t="n"/>
      <c r="H1520" s="47" t="n"/>
    </row>
    <row r="1521">
      <c r="C1521" s="7" t="n"/>
      <c r="D1521" s="7" t="n"/>
      <c r="H1521" s="47" t="n"/>
    </row>
    <row r="1522">
      <c r="C1522" s="7" t="n"/>
      <c r="D1522" s="7" t="n"/>
      <c r="H1522" s="47" t="n"/>
    </row>
    <row r="1523">
      <c r="C1523" s="7" t="n"/>
      <c r="D1523" s="7" t="n"/>
      <c r="H1523" s="47" t="n"/>
    </row>
    <row r="1524">
      <c r="C1524" s="7" t="n"/>
      <c r="D1524" s="7" t="n"/>
      <c r="H1524" s="47" t="n"/>
    </row>
    <row r="1525">
      <c r="C1525" s="7" t="n"/>
      <c r="D1525" s="7" t="n"/>
      <c r="H1525" s="47" t="n"/>
    </row>
    <row r="1526">
      <c r="C1526" s="7" t="n"/>
      <c r="D1526" s="7" t="n"/>
      <c r="H1526" s="47" t="n"/>
    </row>
    <row r="1527">
      <c r="C1527" s="7" t="n"/>
      <c r="D1527" s="7" t="n"/>
      <c r="H1527" s="47" t="n"/>
    </row>
    <row r="1528">
      <c r="C1528" s="7" t="n"/>
      <c r="D1528" s="7" t="n"/>
      <c r="H1528" s="47" t="n"/>
    </row>
    <row r="1529">
      <c r="C1529" s="7" t="n"/>
      <c r="D1529" s="7" t="n"/>
      <c r="H1529" s="47" t="n"/>
    </row>
    <row r="1530">
      <c r="C1530" s="7" t="n"/>
      <c r="D1530" s="7" t="n"/>
      <c r="H1530" s="47" t="n"/>
    </row>
    <row r="1531">
      <c r="C1531" s="7" t="n"/>
      <c r="D1531" s="7" t="n"/>
      <c r="H1531" s="47" t="n"/>
    </row>
    <row r="1532">
      <c r="C1532" s="7" t="n"/>
      <c r="D1532" s="7" t="n"/>
      <c r="H1532" s="47" t="n"/>
    </row>
    <row r="1533">
      <c r="C1533" s="7" t="n"/>
      <c r="D1533" s="7" t="n"/>
      <c r="H1533" s="47" t="n"/>
    </row>
    <row r="1534">
      <c r="C1534" s="7" t="n"/>
      <c r="D1534" s="7" t="n"/>
      <c r="H1534" s="47" t="n"/>
    </row>
    <row r="1535">
      <c r="C1535" s="7" t="n"/>
      <c r="D1535" s="7" t="n"/>
      <c r="H1535" s="47" t="n"/>
    </row>
    <row r="1536">
      <c r="C1536" s="7" t="n"/>
      <c r="D1536" s="7" t="n"/>
      <c r="H1536" s="47" t="n"/>
    </row>
    <row r="1537">
      <c r="C1537" s="7" t="n"/>
      <c r="D1537" s="7" t="n"/>
      <c r="H1537" s="47" t="n"/>
    </row>
    <row r="1538">
      <c r="C1538" s="7" t="n"/>
      <c r="D1538" s="7" t="n"/>
      <c r="H1538" s="47" t="n"/>
    </row>
    <row r="1539">
      <c r="C1539" s="7" t="n"/>
      <c r="D1539" s="7" t="n"/>
      <c r="H1539" s="47" t="n"/>
    </row>
    <row r="1540">
      <c r="C1540" s="7" t="n"/>
      <c r="D1540" s="7" t="n"/>
      <c r="H1540" s="47" t="n"/>
    </row>
    <row r="1541">
      <c r="C1541" s="7" t="n"/>
      <c r="D1541" s="7" t="n"/>
      <c r="H1541" s="47" t="n"/>
    </row>
    <row r="1542">
      <c r="C1542" s="7" t="n"/>
      <c r="D1542" s="7" t="n"/>
      <c r="H1542" s="47" t="n"/>
    </row>
    <row r="1543">
      <c r="C1543" s="7" t="n"/>
      <c r="D1543" s="7" t="n"/>
      <c r="H1543" s="47" t="n"/>
    </row>
    <row r="1544">
      <c r="C1544" s="7" t="n"/>
      <c r="D1544" s="7" t="n"/>
      <c r="H1544" s="47" t="n"/>
    </row>
    <row r="1545">
      <c r="C1545" s="7" t="n"/>
      <c r="D1545" s="7" t="n"/>
      <c r="H1545" s="47" t="n"/>
    </row>
    <row r="1546">
      <c r="C1546" s="7" t="n"/>
      <c r="D1546" s="7" t="n"/>
      <c r="H1546" s="47" t="n"/>
    </row>
    <row r="1547">
      <c r="C1547" s="7" t="n"/>
      <c r="D1547" s="7" t="n"/>
      <c r="H1547" s="47" t="n"/>
    </row>
    <row r="1548">
      <c r="C1548" s="7" t="n"/>
      <c r="D1548" s="7" t="n"/>
      <c r="H1548" s="47" t="n"/>
    </row>
    <row r="1549">
      <c r="C1549" s="7" t="n"/>
      <c r="D1549" s="7" t="n"/>
      <c r="H1549" s="47" t="n"/>
    </row>
    <row r="1550">
      <c r="C1550" s="7" t="n"/>
      <c r="D1550" s="7" t="n"/>
      <c r="H1550" s="47" t="n"/>
    </row>
    <row r="1551">
      <c r="C1551" s="7" t="n"/>
      <c r="D1551" s="7" t="n"/>
      <c r="H1551" s="47" t="n"/>
    </row>
    <row r="1552">
      <c r="C1552" s="7" t="n"/>
      <c r="D1552" s="7" t="n"/>
      <c r="H1552" s="47" t="n"/>
    </row>
    <row r="1553">
      <c r="C1553" s="7" t="n"/>
      <c r="D1553" s="7" t="n"/>
      <c r="H1553" s="47" t="n"/>
    </row>
    <row r="1554">
      <c r="C1554" s="7" t="n"/>
      <c r="D1554" s="7" t="n"/>
      <c r="H1554" s="47" t="n"/>
    </row>
    <row r="1555">
      <c r="C1555" s="7" t="n"/>
      <c r="D1555" s="7" t="n"/>
      <c r="H1555" s="47" t="n"/>
    </row>
    <row r="1556">
      <c r="C1556" s="7" t="n"/>
      <c r="D1556" s="7" t="n"/>
      <c r="H1556" s="47" t="n"/>
    </row>
    <row r="1557">
      <c r="C1557" s="7" t="n"/>
      <c r="D1557" s="7" t="n"/>
      <c r="H1557" s="47" t="n"/>
    </row>
    <row r="1558">
      <c r="C1558" s="7" t="n"/>
      <c r="D1558" s="7" t="n"/>
      <c r="H1558" s="47" t="n"/>
    </row>
    <row r="1559">
      <c r="C1559" s="7" t="n"/>
      <c r="D1559" s="7" t="n"/>
      <c r="H1559" s="47" t="n"/>
    </row>
    <row r="1560">
      <c r="C1560" s="7" t="n"/>
      <c r="D1560" s="7" t="n"/>
      <c r="H1560" s="47" t="n"/>
    </row>
    <row r="1561">
      <c r="C1561" s="7" t="n"/>
      <c r="D1561" s="7" t="n"/>
      <c r="H1561" s="47" t="n"/>
    </row>
    <row r="1562">
      <c r="C1562" s="7" t="n"/>
      <c r="D1562" s="7" t="n"/>
      <c r="H1562" s="47" t="n"/>
    </row>
    <row r="1563">
      <c r="C1563" s="7" t="n"/>
      <c r="D1563" s="7" t="n"/>
      <c r="H1563" s="47" t="n"/>
    </row>
    <row r="1564">
      <c r="C1564" s="7" t="n"/>
      <c r="D1564" s="7" t="n"/>
      <c r="H1564" s="47" t="n"/>
    </row>
    <row r="1565">
      <c r="C1565" s="7" t="n"/>
      <c r="D1565" s="7" t="n"/>
      <c r="H1565" s="47" t="n"/>
    </row>
    <row r="1566">
      <c r="C1566" s="7" t="n"/>
      <c r="D1566" s="7" t="n"/>
      <c r="H1566" s="47" t="n"/>
    </row>
    <row r="1567">
      <c r="C1567" s="7" t="n"/>
      <c r="D1567" s="7" t="n"/>
      <c r="H1567" s="47" t="n"/>
    </row>
    <row r="1568">
      <c r="C1568" s="7" t="n"/>
      <c r="D1568" s="7" t="n"/>
      <c r="H1568" s="47" t="n"/>
    </row>
    <row r="1569">
      <c r="C1569" s="7" t="n"/>
      <c r="D1569" s="7" t="n"/>
      <c r="H1569" s="47" t="n"/>
    </row>
    <row r="1570">
      <c r="C1570" s="7" t="n"/>
      <c r="D1570" s="7" t="n"/>
      <c r="H1570" s="47" t="n"/>
    </row>
    <row r="1571">
      <c r="C1571" s="7" t="n"/>
      <c r="D1571" s="7" t="n"/>
      <c r="H1571" s="47" t="n"/>
    </row>
    <row r="1572">
      <c r="C1572" s="7" t="n"/>
      <c r="D1572" s="7" t="n"/>
      <c r="H1572" s="47" t="n"/>
    </row>
    <row r="1573">
      <c r="C1573" s="7" t="n"/>
      <c r="D1573" s="7" t="n"/>
      <c r="H1573" s="47" t="n"/>
    </row>
    <row r="1574">
      <c r="C1574" s="7" t="n"/>
      <c r="D1574" s="7" t="n"/>
      <c r="H1574" s="47" t="n"/>
    </row>
    <row r="1575">
      <c r="C1575" s="7" t="n"/>
      <c r="D1575" s="7" t="n"/>
      <c r="H1575" s="47" t="n"/>
    </row>
    <row r="1576">
      <c r="C1576" s="7" t="n"/>
      <c r="D1576" s="7" t="n"/>
      <c r="H1576" s="47" t="n"/>
    </row>
    <row r="1577">
      <c r="C1577" s="7" t="n"/>
      <c r="D1577" s="7" t="n"/>
      <c r="H1577" s="47" t="n"/>
    </row>
    <row r="1578">
      <c r="C1578" s="7" t="n"/>
      <c r="D1578" s="7" t="n"/>
      <c r="H1578" s="47" t="n"/>
    </row>
    <row r="1579">
      <c r="C1579" s="7" t="n"/>
      <c r="D1579" s="7" t="n"/>
      <c r="H1579" s="47" t="n"/>
    </row>
    <row r="1580">
      <c r="C1580" s="7" t="n"/>
      <c r="D1580" s="7" t="n"/>
      <c r="H1580" s="47" t="n"/>
    </row>
    <row r="1581">
      <c r="C1581" s="7" t="n"/>
      <c r="D1581" s="7" t="n"/>
      <c r="H1581" s="47" t="n"/>
    </row>
    <row r="1582">
      <c r="C1582" s="7" t="n"/>
      <c r="D1582" s="7" t="n"/>
      <c r="H1582" s="47" t="n"/>
    </row>
    <row r="1583">
      <c r="C1583" s="7" t="n"/>
      <c r="D1583" s="7" t="n"/>
      <c r="H1583" s="47" t="n"/>
    </row>
    <row r="1584">
      <c r="C1584" s="7" t="n"/>
      <c r="D1584" s="7" t="n"/>
      <c r="H1584" s="47" t="n"/>
    </row>
    <row r="1585">
      <c r="C1585" s="7" t="n"/>
      <c r="D1585" s="7" t="n"/>
      <c r="H1585" s="47" t="n"/>
    </row>
    <row r="1586">
      <c r="C1586" s="7" t="n"/>
      <c r="D1586" s="7" t="n"/>
      <c r="H1586" s="47" t="n"/>
    </row>
    <row r="1587">
      <c r="C1587" s="7" t="n"/>
      <c r="D1587" s="7" t="n"/>
      <c r="H1587" s="47" t="n"/>
    </row>
    <row r="1588">
      <c r="C1588" s="7" t="n"/>
      <c r="D1588" s="7" t="n"/>
      <c r="H1588" s="47" t="n"/>
    </row>
    <row r="1589">
      <c r="C1589" s="7" t="n"/>
      <c r="D1589" s="7" t="n"/>
      <c r="H1589" s="47" t="n"/>
    </row>
    <row r="1590">
      <c r="C1590" s="7" t="n"/>
      <c r="D1590" s="7" t="n"/>
      <c r="H1590" s="47" t="n"/>
    </row>
    <row r="1591">
      <c r="C1591" s="7" t="n"/>
      <c r="D1591" s="7" t="n"/>
      <c r="H1591" s="47" t="n"/>
    </row>
    <row r="1592">
      <c r="C1592" s="7" t="n"/>
      <c r="D1592" s="7" t="n"/>
      <c r="H1592" s="47" t="n"/>
    </row>
    <row r="1593">
      <c r="C1593" s="7" t="n"/>
      <c r="D1593" s="7" t="n"/>
      <c r="H1593" s="47" t="n"/>
    </row>
    <row r="1594">
      <c r="C1594" s="7" t="n"/>
      <c r="D1594" s="7" t="n"/>
      <c r="H1594" s="47" t="n"/>
    </row>
    <row r="1595">
      <c r="C1595" s="7" t="n"/>
      <c r="D1595" s="7" t="n"/>
      <c r="H1595" s="47" t="n"/>
    </row>
    <row r="1596">
      <c r="C1596" s="7" t="n"/>
      <c r="D1596" s="7" t="n"/>
      <c r="H1596" s="47" t="n"/>
    </row>
    <row r="1597">
      <c r="C1597" s="7" t="n"/>
      <c r="D1597" s="7" t="n"/>
      <c r="H1597" s="47" t="n"/>
    </row>
    <row r="1598">
      <c r="C1598" s="7" t="n"/>
      <c r="D1598" s="7" t="n"/>
      <c r="H1598" s="47" t="n"/>
    </row>
    <row r="1599">
      <c r="C1599" s="7" t="n"/>
      <c r="D1599" s="7" t="n"/>
      <c r="H1599" s="47" t="n"/>
    </row>
    <row r="1600">
      <c r="C1600" s="7" t="n"/>
      <c r="D1600" s="7" t="n"/>
      <c r="H1600" s="47" t="n"/>
    </row>
    <row r="1601">
      <c r="C1601" s="7" t="n"/>
      <c r="D1601" s="7" t="n"/>
      <c r="H1601" s="47" t="n"/>
    </row>
    <row r="1602">
      <c r="C1602" s="7" t="n"/>
      <c r="D1602" s="7" t="n"/>
      <c r="H1602" s="47" t="n"/>
    </row>
    <row r="1603">
      <c r="C1603" s="7" t="n"/>
      <c r="D1603" s="7" t="n"/>
      <c r="H1603" s="47" t="n"/>
    </row>
    <row r="1604">
      <c r="C1604" s="7" t="n"/>
      <c r="D1604" s="7" t="n"/>
      <c r="H1604" s="47" t="n"/>
    </row>
    <row r="1605">
      <c r="C1605" s="7" t="n"/>
      <c r="D1605" s="7" t="n"/>
      <c r="H1605" s="47" t="n"/>
    </row>
    <row r="1606">
      <c r="C1606" s="7" t="n"/>
      <c r="D1606" s="7" t="n"/>
      <c r="H1606" s="47" t="n"/>
    </row>
    <row r="1607">
      <c r="C1607" s="7" t="n"/>
      <c r="D1607" s="7" t="n"/>
      <c r="H1607" s="47" t="n"/>
    </row>
    <row r="1608">
      <c r="C1608" s="7" t="n"/>
      <c r="D1608" s="7" t="n"/>
      <c r="H1608" s="47" t="n"/>
    </row>
    <row r="1609">
      <c r="C1609" s="7" t="n"/>
      <c r="D1609" s="7" t="n"/>
      <c r="H1609" s="47" t="n"/>
    </row>
    <row r="1610">
      <c r="C1610" s="7" t="n"/>
      <c r="D1610" s="7" t="n"/>
      <c r="H1610" s="47" t="n"/>
    </row>
    <row r="1611">
      <c r="C1611" s="7" t="n"/>
      <c r="D1611" s="7" t="n"/>
      <c r="H1611" s="47" t="n"/>
    </row>
    <row r="1612">
      <c r="C1612" s="7" t="n"/>
      <c r="D1612" s="7" t="n"/>
      <c r="H1612" s="47" t="n"/>
    </row>
    <row r="1613">
      <c r="C1613" s="7" t="n"/>
      <c r="D1613" s="7" t="n"/>
      <c r="H1613" s="47" t="n"/>
    </row>
    <row r="1614">
      <c r="C1614" s="7" t="n"/>
      <c r="D1614" s="7" t="n"/>
      <c r="H1614" s="47" t="n"/>
    </row>
    <row r="1615">
      <c r="C1615" s="7" t="n"/>
      <c r="D1615" s="7" t="n"/>
      <c r="H1615" s="47" t="n"/>
    </row>
    <row r="1616">
      <c r="C1616" s="7" t="n"/>
      <c r="D1616" s="7" t="n"/>
      <c r="H1616" s="47" t="n"/>
    </row>
    <row r="1617">
      <c r="C1617" s="7" t="n"/>
      <c r="D1617" s="7" t="n"/>
      <c r="H1617" s="47" t="n"/>
    </row>
    <row r="1618">
      <c r="C1618" s="7" t="n"/>
      <c r="D1618" s="7" t="n"/>
      <c r="H1618" s="47" t="n"/>
    </row>
    <row r="1619">
      <c r="C1619" s="7" t="n"/>
      <c r="D1619" s="7" t="n"/>
      <c r="H1619" s="47" t="n"/>
    </row>
    <row r="1620">
      <c r="C1620" s="7" t="n"/>
      <c r="D1620" s="7" t="n"/>
      <c r="H1620" s="47" t="n"/>
    </row>
    <row r="1621">
      <c r="C1621" s="7" t="n"/>
      <c r="D1621" s="7" t="n"/>
      <c r="H1621" s="47" t="n"/>
    </row>
    <row r="1622">
      <c r="C1622" s="7" t="n"/>
      <c r="D1622" s="7" t="n"/>
      <c r="H1622" s="47" t="n"/>
    </row>
    <row r="1623">
      <c r="C1623" s="7" t="n"/>
      <c r="D1623" s="7" t="n"/>
      <c r="H1623" s="47" t="n"/>
    </row>
    <row r="1624">
      <c r="C1624" s="7" t="n"/>
      <c r="D1624" s="7" t="n"/>
      <c r="H1624" s="47" t="n"/>
    </row>
    <row r="1625">
      <c r="C1625" s="7" t="n"/>
      <c r="D1625" s="7" t="n"/>
      <c r="H1625" s="47" t="n"/>
    </row>
    <row r="1626">
      <c r="C1626" s="7" t="n"/>
      <c r="D1626" s="7" t="n"/>
      <c r="H1626" s="47" t="n"/>
    </row>
    <row r="1627">
      <c r="C1627" s="7" t="n"/>
      <c r="D1627" s="7" t="n"/>
      <c r="H1627" s="47" t="n"/>
    </row>
    <row r="1628">
      <c r="C1628" s="7" t="n"/>
      <c r="D1628" s="7" t="n"/>
      <c r="H1628" s="47" t="n"/>
    </row>
    <row r="1629">
      <c r="C1629" s="7" t="n"/>
      <c r="D1629" s="7" t="n"/>
      <c r="H1629" s="47" t="n"/>
    </row>
    <row r="1630">
      <c r="C1630" s="7" t="n"/>
      <c r="D1630" s="7" t="n"/>
      <c r="H1630" s="47" t="n"/>
    </row>
    <row r="1631">
      <c r="C1631" s="7" t="n"/>
      <c r="D1631" s="7" t="n"/>
      <c r="H1631" s="47" t="n"/>
    </row>
    <row r="1632">
      <c r="C1632" s="7" t="n"/>
      <c r="D1632" s="7" t="n"/>
      <c r="H1632" s="47" t="n"/>
    </row>
    <row r="1633">
      <c r="C1633" s="7" t="n"/>
      <c r="D1633" s="7" t="n"/>
      <c r="H1633" s="47" t="n"/>
    </row>
    <row r="1634">
      <c r="C1634" s="7" t="n"/>
      <c r="D1634" s="7" t="n"/>
      <c r="H1634" s="47" t="n"/>
    </row>
    <row r="1635">
      <c r="C1635" s="7" t="n"/>
      <c r="D1635" s="7" t="n"/>
      <c r="H1635" s="47" t="n"/>
    </row>
    <row r="1636">
      <c r="C1636" s="7" t="n"/>
      <c r="D1636" s="7" t="n"/>
      <c r="H1636" s="47" t="n"/>
    </row>
    <row r="1637">
      <c r="C1637" s="7" t="n"/>
      <c r="D1637" s="7" t="n"/>
      <c r="H1637" s="47" t="n"/>
    </row>
    <row r="1638">
      <c r="C1638" s="7" t="n"/>
      <c r="D1638" s="7" t="n"/>
      <c r="H1638" s="47" t="n"/>
    </row>
    <row r="1639">
      <c r="C1639" s="7" t="n"/>
      <c r="D1639" s="7" t="n"/>
      <c r="H1639" s="47" t="n"/>
    </row>
    <row r="1640">
      <c r="C1640" s="7" t="n"/>
      <c r="D1640" s="7" t="n"/>
      <c r="H1640" s="47" t="n"/>
    </row>
    <row r="1641">
      <c r="C1641" s="7" t="n"/>
      <c r="D1641" s="7" t="n"/>
      <c r="H1641" s="47" t="n"/>
    </row>
    <row r="1642">
      <c r="C1642" s="7" t="n"/>
      <c r="D1642" s="7" t="n"/>
      <c r="H1642" s="47" t="n"/>
    </row>
    <row r="1643">
      <c r="C1643" s="7" t="n"/>
      <c r="D1643" s="7" t="n"/>
      <c r="H1643" s="47" t="n"/>
    </row>
    <row r="1644">
      <c r="C1644" s="7" t="n"/>
      <c r="D1644" s="7" t="n"/>
      <c r="H1644" s="47" t="n"/>
    </row>
    <row r="1645">
      <c r="C1645" s="7" t="n"/>
      <c r="D1645" s="7" t="n"/>
      <c r="H1645" s="47" t="n"/>
    </row>
    <row r="1646">
      <c r="C1646" s="7" t="n"/>
      <c r="D1646" s="7" t="n"/>
      <c r="H1646" s="47" t="n"/>
    </row>
    <row r="1647">
      <c r="C1647" s="7" t="n"/>
      <c r="D1647" s="7" t="n"/>
      <c r="H1647" s="47" t="n"/>
    </row>
    <row r="1648">
      <c r="C1648" s="7" t="n"/>
      <c r="D1648" s="7" t="n"/>
      <c r="H1648" s="47" t="n"/>
    </row>
    <row r="1649">
      <c r="C1649" s="7" t="n"/>
      <c r="D1649" s="7" t="n"/>
      <c r="H1649" s="47" t="n"/>
    </row>
    <row r="1650">
      <c r="C1650" s="7" t="n"/>
      <c r="D1650" s="7" t="n"/>
      <c r="H1650" s="47" t="n"/>
    </row>
    <row r="1651">
      <c r="C1651" s="7" t="n"/>
      <c r="D1651" s="7" t="n"/>
      <c r="H1651" s="47" t="n"/>
    </row>
    <row r="1652">
      <c r="C1652" s="7" t="n"/>
      <c r="D1652" s="7" t="n"/>
      <c r="H1652" s="47" t="n"/>
    </row>
    <row r="1653">
      <c r="C1653" s="7" t="n"/>
      <c r="D1653" s="7" t="n"/>
      <c r="H1653" s="47" t="n"/>
    </row>
    <row r="1654">
      <c r="C1654" s="7" t="n"/>
      <c r="D1654" s="7" t="n"/>
      <c r="H1654" s="47" t="n"/>
    </row>
    <row r="1655">
      <c r="C1655" s="7" t="n"/>
      <c r="D1655" s="7" t="n"/>
      <c r="H1655" s="47" t="n"/>
    </row>
    <row r="1656">
      <c r="C1656" s="7" t="n"/>
      <c r="D1656" s="7" t="n"/>
      <c r="H1656" s="47" t="n"/>
    </row>
    <row r="1657">
      <c r="C1657" s="7" t="n"/>
      <c r="D1657" s="7" t="n"/>
      <c r="H1657" s="47" t="n"/>
    </row>
    <row r="1658">
      <c r="C1658" s="7" t="n"/>
      <c r="D1658" s="7" t="n"/>
      <c r="H1658" s="47" t="n"/>
    </row>
    <row r="1659">
      <c r="C1659" s="7" t="n"/>
      <c r="D1659" s="7" t="n"/>
      <c r="H1659" s="47" t="n"/>
    </row>
    <row r="1660">
      <c r="C1660" s="7" t="n"/>
      <c r="D1660" s="7" t="n"/>
      <c r="H1660" s="47" t="n"/>
    </row>
    <row r="1661">
      <c r="C1661" s="7" t="n"/>
      <c r="D1661" s="7" t="n"/>
      <c r="H1661" s="47" t="n"/>
    </row>
    <row r="1662">
      <c r="C1662" s="7" t="n"/>
      <c r="D1662" s="7" t="n"/>
      <c r="H1662" s="47" t="n"/>
    </row>
    <row r="1663">
      <c r="C1663" s="7" t="n"/>
      <c r="D1663" s="7" t="n"/>
      <c r="H1663" s="47" t="n"/>
    </row>
    <row r="1664">
      <c r="C1664" s="7" t="n"/>
      <c r="D1664" s="7" t="n"/>
      <c r="H1664" s="47" t="n"/>
    </row>
    <row r="1665">
      <c r="C1665" s="7" t="n"/>
      <c r="D1665" s="7" t="n"/>
      <c r="H1665" s="47" t="n"/>
    </row>
    <row r="1666">
      <c r="C1666" s="7" t="n"/>
      <c r="D1666" s="7" t="n"/>
      <c r="H1666" s="47" t="n"/>
    </row>
    <row r="1667">
      <c r="C1667" s="7" t="n"/>
      <c r="D1667" s="7" t="n"/>
      <c r="H1667" s="47" t="n"/>
    </row>
    <row r="1668">
      <c r="C1668" s="7" t="n"/>
      <c r="D1668" s="7" t="n"/>
      <c r="H1668" s="47" t="n"/>
    </row>
    <row r="1669">
      <c r="C1669" s="7" t="n"/>
      <c r="D1669" s="7" t="n"/>
      <c r="H1669" s="47" t="n"/>
    </row>
    <row r="1670">
      <c r="C1670" s="7" t="n"/>
      <c r="D1670" s="7" t="n"/>
      <c r="H1670" s="47" t="n"/>
    </row>
    <row r="1671">
      <c r="C1671" s="7" t="n"/>
      <c r="D1671" s="7" t="n"/>
      <c r="H1671" s="47" t="n"/>
    </row>
    <row r="1672">
      <c r="C1672" s="7" t="n"/>
      <c r="D1672" s="7" t="n"/>
      <c r="H1672" s="47" t="n"/>
    </row>
    <row r="1673">
      <c r="C1673" s="7" t="n"/>
      <c r="D1673" s="7" t="n"/>
      <c r="H1673" s="47" t="n"/>
    </row>
    <row r="1674">
      <c r="C1674" s="7" t="n"/>
      <c r="D1674" s="7" t="n"/>
      <c r="H1674" s="47" t="n"/>
    </row>
    <row r="1675">
      <c r="C1675" s="7" t="n"/>
      <c r="D1675" s="7" t="n"/>
      <c r="H1675" s="47" t="n"/>
    </row>
    <row r="1676">
      <c r="C1676" s="7" t="n"/>
      <c r="D1676" s="7" t="n"/>
      <c r="H1676" s="47" t="n"/>
    </row>
    <row r="1677">
      <c r="C1677" s="7" t="n"/>
      <c r="D1677" s="7" t="n"/>
      <c r="H1677" s="47" t="n"/>
    </row>
    <row r="1678">
      <c r="C1678" s="7" t="n"/>
      <c r="D1678" s="7" t="n"/>
      <c r="H1678" s="47" t="n"/>
    </row>
    <row r="1679">
      <c r="C1679" s="7" t="n"/>
      <c r="D1679" s="7" t="n"/>
      <c r="H1679" s="47" t="n"/>
    </row>
    <row r="1680">
      <c r="C1680" s="7" t="n"/>
      <c r="D1680" s="7" t="n"/>
      <c r="H1680" s="47" t="n"/>
    </row>
    <row r="1681">
      <c r="C1681" s="7" t="n"/>
      <c r="D1681" s="7" t="n"/>
      <c r="H1681" s="47" t="n"/>
    </row>
    <row r="1682">
      <c r="C1682" s="7" t="n"/>
      <c r="D1682" s="7" t="n"/>
      <c r="H1682" s="47" t="n"/>
    </row>
    <row r="1683">
      <c r="C1683" s="7" t="n"/>
      <c r="D1683" s="7" t="n"/>
      <c r="H1683" s="47" t="n"/>
    </row>
    <row r="1684">
      <c r="C1684" s="7" t="n"/>
      <c r="D1684" s="7" t="n"/>
      <c r="H1684" s="47" t="n"/>
    </row>
    <row r="1685">
      <c r="C1685" s="7" t="n"/>
      <c r="D1685" s="7" t="n"/>
      <c r="H1685" s="47" t="n"/>
    </row>
    <row r="1686">
      <c r="C1686" s="7" t="n"/>
      <c r="D1686" s="7" t="n"/>
      <c r="H1686" s="47" t="n"/>
    </row>
    <row r="1687">
      <c r="C1687" s="7" t="n"/>
      <c r="D1687" s="7" t="n"/>
      <c r="H1687" s="47" t="n"/>
    </row>
    <row r="1688">
      <c r="C1688" s="7" t="n"/>
      <c r="D1688" s="7" t="n"/>
      <c r="H1688" s="47" t="n"/>
    </row>
    <row r="1689">
      <c r="C1689" s="7" t="n"/>
      <c r="D1689" s="7" t="n"/>
      <c r="H1689" s="47" t="n"/>
    </row>
    <row r="1690">
      <c r="C1690" s="7" t="n"/>
      <c r="D1690" s="7" t="n"/>
      <c r="H1690" s="47" t="n"/>
    </row>
    <row r="1691">
      <c r="C1691" s="7" t="n"/>
      <c r="D1691" s="7" t="n"/>
      <c r="H1691" s="47" t="n"/>
    </row>
    <row r="1692">
      <c r="C1692" s="7" t="n"/>
      <c r="D1692" s="7" t="n"/>
      <c r="H1692" s="47" t="n"/>
    </row>
    <row r="1693">
      <c r="C1693" s="7" t="n"/>
      <c r="D1693" s="7" t="n"/>
      <c r="H1693" s="47" t="n"/>
    </row>
    <row r="1694">
      <c r="C1694" s="7" t="n"/>
      <c r="D1694" s="7" t="n"/>
      <c r="H1694" s="47" t="n"/>
    </row>
    <row r="1695">
      <c r="C1695" s="7" t="n"/>
      <c r="D1695" s="7" t="n"/>
      <c r="H1695" s="47" t="n"/>
    </row>
    <row r="1696">
      <c r="C1696" s="7" t="n"/>
      <c r="D1696" s="7" t="n"/>
      <c r="H1696" s="47" t="n"/>
    </row>
    <row r="1697">
      <c r="C1697" s="7" t="n"/>
      <c r="D1697" s="7" t="n"/>
      <c r="H1697" s="47" t="n"/>
    </row>
    <row r="1698">
      <c r="C1698" s="7" t="n"/>
      <c r="D1698" s="7" t="n"/>
      <c r="H1698" s="47" t="n"/>
    </row>
    <row r="1699">
      <c r="C1699" s="7" t="n"/>
      <c r="D1699" s="7" t="n"/>
      <c r="H1699" s="47" t="n"/>
    </row>
    <row r="1700">
      <c r="C1700" s="7" t="n"/>
      <c r="D1700" s="7" t="n"/>
      <c r="H1700" s="47" t="n"/>
    </row>
    <row r="1701">
      <c r="C1701" s="7" t="n"/>
      <c r="D1701" s="7" t="n"/>
      <c r="H1701" s="47" t="n"/>
    </row>
    <row r="1702">
      <c r="C1702" s="7" t="n"/>
      <c r="D1702" s="7" t="n"/>
      <c r="H1702" s="47" t="n"/>
    </row>
    <row r="1703">
      <c r="C1703" s="7" t="n"/>
      <c r="D1703" s="7" t="n"/>
      <c r="H1703" s="47" t="n"/>
    </row>
    <row r="1704">
      <c r="C1704" s="7" t="n"/>
      <c r="D1704" s="7" t="n"/>
      <c r="H1704" s="47" t="n"/>
    </row>
    <row r="1705">
      <c r="C1705" s="7" t="n"/>
      <c r="D1705" s="7" t="n"/>
      <c r="H1705" s="47" t="n"/>
    </row>
    <row r="1706">
      <c r="C1706" s="7" t="n"/>
      <c r="D1706" s="7" t="n"/>
      <c r="H1706" s="47" t="n"/>
    </row>
    <row r="1707">
      <c r="C1707" s="7" t="n"/>
      <c r="D1707" s="7" t="n"/>
      <c r="H1707" s="47" t="n"/>
    </row>
    <row r="1708">
      <c r="C1708" s="7" t="n"/>
      <c r="D1708" s="7" t="n"/>
      <c r="H1708" s="47" t="n"/>
    </row>
    <row r="1709">
      <c r="C1709" s="7" t="n"/>
      <c r="D1709" s="7" t="n"/>
      <c r="H1709" s="47" t="n"/>
    </row>
    <row r="1710">
      <c r="C1710" s="7" t="n"/>
      <c r="D1710" s="7" t="n"/>
      <c r="H1710" s="47" t="n"/>
    </row>
    <row r="1711">
      <c r="C1711" s="7" t="n"/>
      <c r="D1711" s="7" t="n"/>
      <c r="H1711" s="47" t="n"/>
    </row>
    <row r="1712">
      <c r="C1712" s="7" t="n"/>
      <c r="D1712" s="7" t="n"/>
      <c r="H1712" s="47" t="n"/>
    </row>
    <row r="1713">
      <c r="C1713" s="7" t="n"/>
      <c r="D1713" s="7" t="n"/>
      <c r="H1713" s="47" t="n"/>
    </row>
    <row r="1714">
      <c r="C1714" s="7" t="n"/>
      <c r="D1714" s="7" t="n"/>
      <c r="H1714" s="47" t="n"/>
    </row>
    <row r="1715">
      <c r="C1715" s="7" t="n"/>
      <c r="D1715" s="7" t="n"/>
      <c r="H1715" s="47" t="n"/>
    </row>
    <row r="1716">
      <c r="C1716" s="7" t="n"/>
      <c r="D1716" s="7" t="n"/>
      <c r="H1716" s="47" t="n"/>
    </row>
    <row r="1717">
      <c r="C1717" s="7" t="n"/>
      <c r="D1717" s="7" t="n"/>
      <c r="H1717" s="47" t="n"/>
    </row>
    <row r="1718">
      <c r="C1718" s="7" t="n"/>
      <c r="D1718" s="7" t="n"/>
      <c r="H1718" s="47" t="n"/>
    </row>
    <row r="1719" ht="29.25" customHeight="1">
      <c r="C1719" s="7" t="n"/>
      <c r="D1719" s="7" t="n"/>
      <c r="H1719" s="47" t="n"/>
    </row>
    <row r="1720" ht="29.25" customHeight="1">
      <c r="C1720" s="7" t="n"/>
      <c r="D1720" s="7" t="n"/>
      <c r="H1720" s="47" t="n"/>
    </row>
    <row r="1721">
      <c r="C1721" s="7" t="n"/>
      <c r="D1721" s="7" t="n"/>
      <c r="H1721" s="47" t="n"/>
    </row>
    <row r="1722">
      <c r="C1722" s="7" t="n"/>
      <c r="D1722" s="7" t="n"/>
      <c r="H1722" s="47" t="n"/>
    </row>
    <row r="1723">
      <c r="C1723" s="7" t="n"/>
      <c r="D1723" s="7" t="n"/>
      <c r="H1723" s="47" t="n"/>
    </row>
    <row r="1724">
      <c r="C1724" s="7" t="n"/>
      <c r="D1724" s="7" t="n"/>
      <c r="H1724" s="47" t="n"/>
    </row>
    <row r="1725">
      <c r="C1725" s="7" t="n"/>
      <c r="D1725" s="7" t="n"/>
      <c r="H1725" s="47" t="n"/>
    </row>
    <row r="1726">
      <c r="C1726" s="7" t="n"/>
      <c r="D1726" s="7" t="n"/>
      <c r="H1726" s="47" t="n"/>
    </row>
    <row r="1727">
      <c r="C1727" s="7" t="n"/>
      <c r="D1727" s="7" t="n"/>
      <c r="H1727" s="47" t="n"/>
    </row>
    <row r="1728">
      <c r="C1728" s="7" t="n"/>
      <c r="D1728" s="7" t="n"/>
      <c r="H1728" s="47" t="n"/>
    </row>
    <row r="1729">
      <c r="C1729" s="7" t="n"/>
      <c r="D1729" s="7" t="n"/>
      <c r="H1729" s="47" t="n"/>
    </row>
    <row r="1730">
      <c r="C1730" s="7" t="n"/>
      <c r="D1730" s="7" t="n"/>
      <c r="H1730" s="47" t="n"/>
    </row>
    <row r="1731">
      <c r="C1731" s="7" t="n"/>
      <c r="D1731" s="7" t="n"/>
      <c r="H1731" s="47" t="n"/>
    </row>
    <row r="1732">
      <c r="C1732" s="7" t="n"/>
      <c r="D1732" s="7" t="n"/>
      <c r="H1732" s="47" t="n"/>
    </row>
    <row r="1733">
      <c r="C1733" s="7" t="n"/>
      <c r="D1733" s="7" t="n"/>
      <c r="H1733" s="47" t="n"/>
    </row>
    <row r="1734">
      <c r="C1734" s="7" t="n"/>
      <c r="D1734" s="7" t="n"/>
      <c r="H1734" s="47" t="n"/>
    </row>
    <row r="1735">
      <c r="C1735" s="7" t="n"/>
      <c r="D1735" s="7" t="n"/>
      <c r="H1735" s="47" t="n"/>
    </row>
    <row r="1736">
      <c r="C1736" s="7" t="n"/>
      <c r="D1736" s="7" t="n"/>
      <c r="H1736" s="47" t="n"/>
    </row>
    <row r="1737">
      <c r="C1737" s="7" t="n"/>
      <c r="D1737" s="7" t="n"/>
      <c r="H1737" s="47" t="n"/>
    </row>
    <row r="1738">
      <c r="C1738" s="7" t="n"/>
      <c r="D1738" s="7" t="n"/>
      <c r="H1738" s="47" t="n"/>
    </row>
    <row r="1739">
      <c r="C1739" s="7" t="n"/>
      <c r="D1739" s="7" t="n"/>
      <c r="H1739" s="47" t="n"/>
    </row>
    <row r="1740">
      <c r="C1740" s="7" t="n"/>
      <c r="D1740" s="7" t="n"/>
      <c r="H1740" s="47" t="n"/>
    </row>
    <row r="1741">
      <c r="C1741" s="7" t="n"/>
      <c r="D1741" s="7" t="n"/>
      <c r="H1741" s="47" t="n"/>
    </row>
    <row r="1742">
      <c r="C1742" s="7" t="n"/>
      <c r="D1742" s="7" t="n"/>
      <c r="H1742" s="47" t="n"/>
    </row>
    <row r="1743">
      <c r="C1743" s="7" t="n"/>
      <c r="D1743" s="7" t="n"/>
      <c r="H1743" s="47" t="n"/>
    </row>
    <row r="1744">
      <c r="C1744" s="7" t="n"/>
      <c r="D1744" s="7" t="n"/>
      <c r="H1744" s="47" t="n"/>
    </row>
    <row r="1745">
      <c r="C1745" s="7" t="n"/>
      <c r="D1745" s="7" t="n"/>
      <c r="H1745" s="47" t="n"/>
    </row>
    <row r="1746">
      <c r="C1746" s="7" t="n"/>
      <c r="D1746" s="7" t="n"/>
      <c r="H1746" s="47" t="n"/>
    </row>
    <row r="1747">
      <c r="C1747" s="7" t="n"/>
      <c r="D1747" s="7" t="n"/>
      <c r="H1747" s="47" t="n"/>
    </row>
    <row r="1748">
      <c r="C1748" s="7" t="n"/>
      <c r="D1748" s="7" t="n"/>
      <c r="H1748" s="47" t="n"/>
    </row>
    <row r="1749">
      <c r="C1749" s="7" t="n"/>
      <c r="D1749" s="7" t="n"/>
      <c r="H1749" s="47" t="n"/>
    </row>
    <row r="1750">
      <c r="C1750" s="7" t="n"/>
      <c r="D1750" s="7" t="n"/>
      <c r="H1750" s="47" t="n"/>
    </row>
    <row r="1751">
      <c r="C1751" s="7" t="n"/>
      <c r="D1751" s="7" t="n"/>
      <c r="H1751" s="47" t="n"/>
    </row>
    <row r="1752">
      <c r="C1752" s="7" t="n"/>
      <c r="D1752" s="7" t="n"/>
      <c r="H1752" s="47" t="n"/>
    </row>
    <row r="1753">
      <c r="C1753" s="7" t="n"/>
      <c r="D1753" s="7" t="n"/>
      <c r="H1753" s="47" t="n"/>
    </row>
    <row r="1754">
      <c r="C1754" s="7" t="n"/>
      <c r="D1754" s="7" t="n"/>
      <c r="H1754" s="47" t="n"/>
    </row>
    <row r="1755">
      <c r="C1755" s="7" t="n"/>
      <c r="D1755" s="7" t="n"/>
      <c r="H1755" s="47" t="n"/>
    </row>
    <row r="1756">
      <c r="C1756" s="7" t="n"/>
      <c r="D1756" s="7" t="n"/>
      <c r="H1756" s="47" t="n"/>
    </row>
    <row r="1757">
      <c r="C1757" s="7" t="n"/>
      <c r="D1757" s="7" t="n"/>
      <c r="H1757" s="47" t="n"/>
    </row>
    <row r="1758">
      <c r="C1758" s="7" t="n"/>
      <c r="D1758" s="7" t="n"/>
      <c r="H1758" s="47" t="n"/>
    </row>
    <row r="1759">
      <c r="C1759" s="7" t="n"/>
      <c r="D1759" s="7" t="n"/>
      <c r="H1759" s="47" t="n"/>
    </row>
    <row r="1760">
      <c r="C1760" s="7" t="n"/>
      <c r="D1760" s="7" t="n"/>
      <c r="H1760" s="47" t="n"/>
    </row>
    <row r="1761">
      <c r="C1761" s="7" t="n"/>
      <c r="D1761" s="7" t="n"/>
      <c r="H1761" s="47" t="n"/>
    </row>
    <row r="1762">
      <c r="C1762" s="7" t="n"/>
      <c r="D1762" s="7" t="n"/>
      <c r="H1762" s="47" t="n"/>
    </row>
    <row r="1763">
      <c r="C1763" s="7" t="n"/>
      <c r="D1763" s="7" t="n"/>
      <c r="H1763" s="47" t="n"/>
    </row>
    <row r="1764">
      <c r="C1764" s="7" t="n"/>
      <c r="D1764" s="7" t="n"/>
      <c r="H1764" s="47" t="n"/>
    </row>
    <row r="1765">
      <c r="C1765" s="7" t="n"/>
      <c r="D1765" s="7" t="n"/>
      <c r="H1765" s="47" t="n"/>
    </row>
    <row r="1766">
      <c r="C1766" s="7" t="n"/>
      <c r="D1766" s="7" t="n"/>
      <c r="H1766" s="47" t="n"/>
    </row>
    <row r="1767">
      <c r="C1767" s="7" t="n"/>
      <c r="D1767" s="7" t="n"/>
      <c r="H1767" s="47" t="n"/>
    </row>
    <row r="1768">
      <c r="C1768" s="7" t="n"/>
      <c r="D1768" s="7" t="n"/>
      <c r="H1768" s="47" t="n"/>
    </row>
    <row r="1769">
      <c r="C1769" s="7" t="n"/>
      <c r="D1769" s="7" t="n"/>
      <c r="H1769" s="47" t="n"/>
    </row>
    <row r="1770">
      <c r="C1770" s="7" t="n"/>
      <c r="D1770" s="7" t="n"/>
      <c r="H1770" s="47" t="n"/>
    </row>
    <row r="1771">
      <c r="C1771" s="7" t="n"/>
      <c r="D1771" s="7" t="n"/>
      <c r="H1771" s="47" t="n"/>
    </row>
    <row r="1772">
      <c r="C1772" s="7" t="n"/>
      <c r="D1772" s="7" t="n"/>
      <c r="H1772" s="47" t="n"/>
    </row>
    <row r="1773">
      <c r="C1773" s="7" t="n"/>
      <c r="D1773" s="7" t="n"/>
      <c r="H1773" s="47" t="n"/>
    </row>
    <row r="1774">
      <c r="C1774" s="7" t="n"/>
      <c r="D1774" s="7" t="n"/>
      <c r="H1774" s="47" t="n"/>
    </row>
    <row r="1775">
      <c r="C1775" s="7" t="n"/>
      <c r="D1775" s="7" t="n"/>
      <c r="H1775" s="47" t="n"/>
    </row>
    <row r="1776">
      <c r="C1776" s="7" t="n"/>
      <c r="D1776" s="7" t="n"/>
      <c r="H1776" s="47" t="n"/>
    </row>
    <row r="1777">
      <c r="C1777" s="7" t="n"/>
      <c r="D1777" s="7" t="n"/>
      <c r="H1777" s="47" t="n"/>
    </row>
    <row r="1778">
      <c r="C1778" s="7" t="n"/>
      <c r="D1778" s="7" t="n"/>
      <c r="H1778" s="47" t="n"/>
    </row>
    <row r="1779">
      <c r="C1779" s="7" t="n"/>
      <c r="D1779" s="7" t="n"/>
      <c r="H1779" s="47" t="n"/>
    </row>
    <row r="1780">
      <c r="C1780" s="7" t="n"/>
      <c r="D1780" s="7" t="n"/>
      <c r="H1780" s="47" t="n"/>
    </row>
    <row r="1781">
      <c r="C1781" s="7" t="n"/>
      <c r="D1781" s="7" t="n"/>
      <c r="H1781" s="47" t="n"/>
    </row>
    <row r="1782">
      <c r="C1782" s="7" t="n"/>
      <c r="D1782" s="7" t="n"/>
      <c r="H1782" s="47" t="n"/>
    </row>
    <row r="1783">
      <c r="C1783" s="7" t="n"/>
      <c r="D1783" s="7" t="n"/>
      <c r="H1783" s="47" t="n"/>
    </row>
    <row r="1784">
      <c r="C1784" s="7" t="n"/>
      <c r="D1784" s="7" t="n"/>
      <c r="H1784" s="47" t="n"/>
    </row>
    <row r="1785">
      <c r="C1785" s="7" t="n"/>
      <c r="D1785" s="7" t="n"/>
      <c r="H1785" s="47" t="n"/>
    </row>
    <row r="1786">
      <c r="C1786" s="7" t="n"/>
      <c r="D1786" s="7" t="n"/>
      <c r="H1786" s="47" t="n"/>
    </row>
    <row r="1787">
      <c r="C1787" s="7" t="n"/>
      <c r="D1787" s="7" t="n"/>
      <c r="H1787" s="47" t="n"/>
    </row>
    <row r="1788">
      <c r="C1788" s="7" t="n"/>
      <c r="D1788" s="7" t="n"/>
      <c r="H1788" s="47" t="n"/>
    </row>
    <row r="1789">
      <c r="C1789" s="7" t="n"/>
      <c r="D1789" s="7" t="n"/>
      <c r="H1789" s="47" t="n"/>
    </row>
    <row r="1790">
      <c r="C1790" s="7" t="n"/>
      <c r="D1790" s="7" t="n"/>
      <c r="H1790" s="47" t="n"/>
    </row>
    <row r="1791">
      <c r="C1791" s="7" t="n"/>
      <c r="D1791" s="7" t="n"/>
      <c r="H1791" s="47" t="n"/>
    </row>
    <row r="1792">
      <c r="C1792" s="7" t="n"/>
      <c r="D1792" s="7" t="n"/>
      <c r="H1792" s="47" t="n"/>
    </row>
    <row r="1793">
      <c r="C1793" s="7" t="n"/>
      <c r="D1793" s="7" t="n"/>
      <c r="H1793" s="47" t="n"/>
    </row>
    <row r="1794">
      <c r="C1794" s="7" t="n"/>
      <c r="D1794" s="7" t="n"/>
      <c r="H1794" s="47" t="n"/>
    </row>
    <row r="1795">
      <c r="C1795" s="7" t="n"/>
      <c r="D1795" s="7" t="n"/>
      <c r="H1795" s="47" t="n"/>
    </row>
    <row r="1796">
      <c r="C1796" s="7" t="n"/>
      <c r="D1796" s="7" t="n"/>
      <c r="H1796" s="47" t="n"/>
    </row>
    <row r="1797">
      <c r="C1797" s="7" t="n"/>
      <c r="D1797" s="7" t="n"/>
      <c r="H1797" s="47" t="n"/>
    </row>
    <row r="1798">
      <c r="C1798" s="7" t="n"/>
      <c r="D1798" s="7" t="n"/>
      <c r="H1798" s="47" t="n"/>
    </row>
    <row r="1799">
      <c r="C1799" s="7" t="n"/>
      <c r="D1799" s="7" t="n"/>
      <c r="H1799" s="47" t="n"/>
    </row>
    <row r="1800">
      <c r="C1800" s="7" t="n"/>
      <c r="D1800" s="7" t="n"/>
      <c r="H1800" s="47" t="n"/>
    </row>
    <row r="1801">
      <c r="C1801" s="7" t="n"/>
      <c r="D1801" s="7" t="n"/>
      <c r="H1801" s="47" t="n"/>
    </row>
    <row r="1802">
      <c r="C1802" s="7" t="n"/>
      <c r="D1802" s="7" t="n"/>
      <c r="H1802" s="47" t="n"/>
    </row>
    <row r="1803">
      <c r="C1803" s="7" t="n"/>
      <c r="D1803" s="7" t="n"/>
      <c r="H1803" s="47" t="n"/>
    </row>
    <row r="1804">
      <c r="C1804" s="7" t="n"/>
      <c r="D1804" s="7" t="n"/>
      <c r="H1804" s="47" t="n"/>
    </row>
    <row r="1805">
      <c r="C1805" s="7" t="n"/>
      <c r="D1805" s="7" t="n"/>
      <c r="H1805" s="47" t="n"/>
    </row>
    <row r="1806">
      <c r="C1806" s="7" t="n"/>
      <c r="D1806" s="7" t="n"/>
      <c r="H1806" s="47" t="n"/>
    </row>
    <row r="1807">
      <c r="C1807" s="7" t="n"/>
      <c r="D1807" s="7" t="n"/>
      <c r="H1807" s="47" t="n"/>
    </row>
    <row r="1808">
      <c r="C1808" s="7" t="n"/>
      <c r="D1808" s="7" t="n"/>
      <c r="H1808" s="47" t="n"/>
    </row>
    <row r="1809">
      <c r="C1809" s="7" t="n"/>
      <c r="D1809" s="7" t="n"/>
      <c r="H1809" s="47" t="n"/>
    </row>
    <row r="1810">
      <c r="C1810" s="7" t="n"/>
      <c r="D1810" s="7" t="n"/>
      <c r="H1810" s="47" t="n"/>
    </row>
    <row r="1811">
      <c r="C1811" s="7" t="n"/>
      <c r="D1811" s="7" t="n"/>
      <c r="H1811" s="47" t="n"/>
    </row>
    <row r="1812">
      <c r="C1812" s="7" t="n"/>
      <c r="D1812" s="7" t="n"/>
      <c r="H1812" s="47" t="n"/>
    </row>
    <row r="1813">
      <c r="C1813" s="7" t="n"/>
      <c r="D1813" s="7" t="n"/>
      <c r="H1813" s="47" t="n"/>
    </row>
    <row r="1814">
      <c r="C1814" s="7" t="n"/>
      <c r="D1814" s="7" t="n"/>
      <c r="H1814" s="47" t="n"/>
    </row>
    <row r="1815">
      <c r="C1815" s="7" t="n"/>
      <c r="D1815" s="7" t="n"/>
      <c r="H1815" s="47" t="n"/>
    </row>
    <row r="1816">
      <c r="C1816" s="7" t="n"/>
      <c r="D1816" s="7" t="n"/>
      <c r="H1816" s="47" t="n"/>
    </row>
    <row r="1817">
      <c r="C1817" s="7" t="n"/>
      <c r="D1817" s="7" t="n"/>
      <c r="H1817" s="47" t="n"/>
    </row>
    <row r="1818">
      <c r="C1818" s="7" t="n"/>
      <c r="D1818" s="7" t="n"/>
      <c r="H1818" s="47" t="n"/>
    </row>
    <row r="1819">
      <c r="C1819" s="7" t="n"/>
      <c r="D1819" s="7" t="n"/>
      <c r="H1819" s="47" t="n"/>
    </row>
    <row r="1820">
      <c r="C1820" s="7" t="n"/>
      <c r="D1820" s="7" t="n"/>
      <c r="H1820" s="47" t="n"/>
    </row>
    <row r="1821">
      <c r="C1821" s="7" t="n"/>
      <c r="D1821" s="7" t="n"/>
      <c r="H1821" s="47" t="n"/>
    </row>
    <row r="1822">
      <c r="C1822" s="7" t="n"/>
      <c r="D1822" s="7" t="n"/>
      <c r="H1822" s="47" t="n"/>
    </row>
    <row r="1823">
      <c r="C1823" s="7" t="n"/>
      <c r="D1823" s="7" t="n"/>
      <c r="H1823" s="47" t="n"/>
    </row>
    <row r="1824">
      <c r="C1824" s="7" t="n"/>
      <c r="D1824" s="7" t="n"/>
      <c r="H1824" s="47" t="n"/>
    </row>
    <row r="1825">
      <c r="C1825" s="7" t="n"/>
      <c r="D1825" s="7" t="n"/>
      <c r="H1825" s="47" t="n"/>
    </row>
    <row r="1826">
      <c r="C1826" s="7" t="n"/>
      <c r="D1826" s="7" t="n"/>
      <c r="H1826" s="47" t="n"/>
    </row>
    <row r="1827">
      <c r="C1827" s="7" t="n"/>
      <c r="D1827" s="7" t="n"/>
      <c r="H1827" s="47" t="n"/>
    </row>
    <row r="1828">
      <c r="C1828" s="7" t="n"/>
      <c r="D1828" s="7" t="n"/>
      <c r="H1828" s="47" t="n"/>
    </row>
    <row r="1829">
      <c r="C1829" s="7" t="n"/>
      <c r="D1829" s="7" t="n"/>
      <c r="H1829" s="47" t="n"/>
    </row>
    <row r="1830">
      <c r="C1830" s="7" t="n"/>
      <c r="D1830" s="7" t="n"/>
      <c r="H1830" s="47" t="n"/>
    </row>
    <row r="1831">
      <c r="C1831" s="7" t="n"/>
      <c r="D1831" s="7" t="n"/>
      <c r="H1831" s="47" t="n"/>
    </row>
    <row r="1832">
      <c r="C1832" s="7" t="n"/>
      <c r="D1832" s="7" t="n"/>
      <c r="H1832" s="47" t="n"/>
    </row>
    <row r="1833">
      <c r="C1833" s="7" t="n"/>
      <c r="D1833" s="7" t="n"/>
      <c r="H1833" s="47" t="n"/>
    </row>
    <row r="1834">
      <c r="C1834" s="7" t="n"/>
      <c r="D1834" s="7" t="n"/>
      <c r="H1834" s="47" t="n"/>
    </row>
    <row r="1835">
      <c r="C1835" s="7" t="n"/>
      <c r="D1835" s="7" t="n"/>
      <c r="H1835" s="47" t="n"/>
    </row>
    <row r="1836">
      <c r="C1836" s="7" t="n"/>
      <c r="D1836" s="7" t="n"/>
      <c r="H1836" s="47" t="n"/>
    </row>
    <row r="1837">
      <c r="C1837" s="7" t="n"/>
      <c r="D1837" s="7" t="n"/>
      <c r="H1837" s="47" t="n"/>
    </row>
    <row r="1838">
      <c r="C1838" s="7" t="n"/>
      <c r="D1838" s="7" t="n"/>
      <c r="H1838" s="47" t="n"/>
    </row>
    <row r="1839">
      <c r="C1839" s="7" t="n"/>
      <c r="D1839" s="7" t="n"/>
      <c r="H1839" s="47" t="n"/>
    </row>
    <row r="1840">
      <c r="C1840" s="7" t="n"/>
      <c r="D1840" s="7" t="n"/>
      <c r="H1840" s="47" t="n"/>
    </row>
    <row r="1841">
      <c r="C1841" s="7" t="n"/>
      <c r="D1841" s="7" t="n"/>
      <c r="H1841" s="47" t="n"/>
    </row>
    <row r="1842">
      <c r="C1842" s="7" t="n"/>
      <c r="D1842" s="7" t="n"/>
      <c r="H1842" s="47" t="n"/>
    </row>
    <row r="1843">
      <c r="C1843" s="7" t="n"/>
      <c r="D1843" s="7" t="n"/>
      <c r="H1843" s="47" t="n"/>
    </row>
    <row r="1844">
      <c r="C1844" s="7" t="n"/>
      <c r="D1844" s="7" t="n"/>
      <c r="H1844" s="47" t="n"/>
    </row>
    <row r="1845">
      <c r="C1845" s="7" t="n"/>
      <c r="D1845" s="7" t="n"/>
      <c r="H1845" s="47" t="n"/>
    </row>
    <row r="1846">
      <c r="C1846" s="7" t="n"/>
      <c r="D1846" s="7" t="n"/>
      <c r="H1846" s="47" t="n"/>
    </row>
    <row r="1847">
      <c r="C1847" s="7" t="n"/>
      <c r="D1847" s="7" t="n"/>
      <c r="H1847" s="47" t="n"/>
    </row>
    <row r="1848">
      <c r="C1848" s="7" t="n"/>
      <c r="D1848" s="7" t="n"/>
      <c r="H1848" s="47" t="n"/>
    </row>
    <row r="1849">
      <c r="C1849" s="7" t="n"/>
      <c r="D1849" s="7" t="n"/>
      <c r="H1849" s="47" t="n"/>
    </row>
    <row r="1850">
      <c r="C1850" s="7" t="n"/>
      <c r="D1850" s="7" t="n"/>
      <c r="H1850" s="47" t="n"/>
    </row>
    <row r="1851">
      <c r="C1851" s="7" t="n"/>
      <c r="D1851" s="7" t="n"/>
      <c r="H1851" s="47" t="n"/>
    </row>
    <row r="1852">
      <c r="C1852" s="7" t="n"/>
      <c r="D1852" s="7" t="n"/>
      <c r="H1852" s="47" t="n"/>
    </row>
    <row r="1853">
      <c r="C1853" s="7" t="n"/>
      <c r="D1853" s="7" t="n"/>
      <c r="H1853" s="47" t="n"/>
    </row>
    <row r="1854">
      <c r="C1854" s="7" t="n"/>
      <c r="D1854" s="7" t="n"/>
      <c r="H1854" s="47" t="n"/>
    </row>
    <row r="1855">
      <c r="C1855" s="7" t="n"/>
      <c r="D1855" s="7" t="n"/>
      <c r="H1855" s="47" t="n"/>
    </row>
    <row r="1856">
      <c r="C1856" s="7" t="n"/>
      <c r="D1856" s="7" t="n"/>
      <c r="H1856" s="47" t="n"/>
    </row>
    <row r="1857">
      <c r="C1857" s="7" t="n"/>
      <c r="D1857" s="7" t="n"/>
      <c r="H1857" s="47" t="n"/>
    </row>
    <row r="1858">
      <c r="C1858" s="7" t="n"/>
      <c r="D1858" s="7" t="n"/>
      <c r="H1858" s="47" t="n"/>
    </row>
    <row r="1859">
      <c r="C1859" s="7" t="n"/>
      <c r="D1859" s="7" t="n"/>
      <c r="H1859" s="47" t="n"/>
    </row>
    <row r="1860">
      <c r="C1860" s="7" t="n"/>
      <c r="D1860" s="7" t="n"/>
      <c r="H1860" s="47" t="n"/>
    </row>
    <row r="1861">
      <c r="C1861" s="7" t="n"/>
      <c r="D1861" s="7" t="n"/>
      <c r="H1861" s="47" t="n"/>
    </row>
    <row r="1862">
      <c r="C1862" s="7" t="n"/>
      <c r="D1862" s="7" t="n"/>
      <c r="H1862" s="47" t="n"/>
    </row>
    <row r="1863">
      <c r="C1863" s="7" t="n"/>
      <c r="D1863" s="7" t="n"/>
      <c r="H1863" s="47" t="n"/>
    </row>
    <row r="1864">
      <c r="C1864" s="7" t="n"/>
      <c r="D1864" s="7" t="n"/>
      <c r="H1864" s="47" t="n"/>
    </row>
    <row r="1865">
      <c r="C1865" s="7" t="n"/>
      <c r="D1865" s="7" t="n"/>
      <c r="H1865" s="47" t="n"/>
    </row>
    <row r="1866">
      <c r="C1866" s="7" t="n"/>
      <c r="D1866" s="7" t="n"/>
      <c r="H1866" s="47" t="n"/>
    </row>
    <row r="1867">
      <c r="C1867" s="7" t="n"/>
      <c r="D1867" s="7" t="n"/>
      <c r="H1867" s="47" t="n"/>
    </row>
    <row r="1868">
      <c r="C1868" s="7" t="n"/>
      <c r="D1868" s="7" t="n"/>
      <c r="H1868" s="47" t="n"/>
    </row>
    <row r="1869">
      <c r="C1869" s="7" t="n"/>
      <c r="D1869" s="7" t="n"/>
      <c r="H1869" s="47" t="n"/>
    </row>
    <row r="1870">
      <c r="C1870" s="7" t="n"/>
      <c r="D1870" s="7" t="n"/>
      <c r="H1870" s="47" t="n"/>
    </row>
    <row r="1871">
      <c r="C1871" s="7" t="n"/>
      <c r="D1871" s="7" t="n"/>
      <c r="H1871" s="47" t="n"/>
    </row>
    <row r="1872">
      <c r="C1872" s="7" t="n"/>
      <c r="D1872" s="7" t="n"/>
      <c r="H1872" s="47" t="n"/>
    </row>
    <row r="1873">
      <c r="C1873" s="7" t="n"/>
      <c r="D1873" s="7" t="n"/>
      <c r="H1873" s="47" t="n"/>
    </row>
    <row r="1874">
      <c r="C1874" s="7" t="n"/>
      <c r="D1874" s="7" t="n"/>
      <c r="H1874" s="47" t="n"/>
    </row>
    <row r="1875" ht="29.25" customHeight="1">
      <c r="C1875" s="7" t="n"/>
      <c r="D1875" s="7" t="n"/>
      <c r="H1875" s="47" t="n"/>
    </row>
    <row r="1876">
      <c r="C1876" s="7" t="n"/>
      <c r="D1876" s="7" t="n"/>
      <c r="H1876" s="47" t="n"/>
    </row>
    <row r="1877">
      <c r="C1877" s="7" t="n"/>
      <c r="D1877" s="7" t="n"/>
      <c r="H1877" s="47" t="n"/>
    </row>
    <row r="1878">
      <c r="C1878" s="7" t="n"/>
      <c r="D1878" s="7" t="n"/>
      <c r="H1878" s="47" t="n"/>
    </row>
    <row r="1879">
      <c r="C1879" s="7" t="n"/>
      <c r="D1879" s="7" t="n"/>
      <c r="H1879" s="47" t="n"/>
    </row>
    <row r="1880">
      <c r="C1880" s="7" t="n"/>
      <c r="D1880" s="7" t="n"/>
      <c r="H1880" s="47" t="n"/>
    </row>
    <row r="1881">
      <c r="C1881" s="7" t="n"/>
      <c r="D1881" s="7" t="n"/>
      <c r="H1881" s="47" t="n"/>
    </row>
    <row r="1882">
      <c r="C1882" s="7" t="n"/>
      <c r="D1882" s="7" t="n"/>
      <c r="H1882" s="47" t="n"/>
    </row>
    <row r="1883">
      <c r="C1883" s="7" t="n"/>
      <c r="D1883" s="7" t="n"/>
      <c r="H1883" s="47" t="n"/>
    </row>
    <row r="1884">
      <c r="C1884" s="7" t="n"/>
      <c r="D1884" s="7" t="n"/>
      <c r="H1884" s="47" t="n"/>
    </row>
    <row r="1885">
      <c r="C1885" s="7" t="n"/>
      <c r="D1885" s="7" t="n"/>
      <c r="H1885" s="47" t="n"/>
    </row>
    <row r="1886">
      <c r="C1886" s="7" t="n"/>
      <c r="D1886" s="7" t="n"/>
      <c r="H1886" s="47" t="n"/>
    </row>
    <row r="1887">
      <c r="C1887" s="7" t="n"/>
      <c r="D1887" s="7" t="n"/>
      <c r="H1887" s="47" t="n"/>
    </row>
    <row r="1888">
      <c r="C1888" s="7" t="n"/>
      <c r="D1888" s="7" t="n"/>
      <c r="H1888" s="47" t="n"/>
    </row>
    <row r="1889">
      <c r="C1889" s="7" t="n"/>
      <c r="D1889" s="7" t="n"/>
      <c r="H1889" s="47" t="n"/>
    </row>
    <row r="1890">
      <c r="C1890" s="7" t="n"/>
      <c r="D1890" s="7" t="n"/>
      <c r="H1890" s="47" t="n"/>
    </row>
    <row r="1891">
      <c r="C1891" s="7" t="n"/>
      <c r="D1891" s="7" t="n"/>
      <c r="H1891" s="47" t="n"/>
    </row>
    <row r="1892">
      <c r="C1892" s="7" t="n"/>
      <c r="D1892" s="7" t="n"/>
      <c r="H1892" s="47" t="n"/>
    </row>
    <row r="1893">
      <c r="C1893" s="7" t="n"/>
      <c r="D1893" s="7" t="n"/>
      <c r="H1893" s="47" t="n"/>
    </row>
    <row r="1894">
      <c r="C1894" s="7" t="n"/>
      <c r="D1894" s="7" t="n"/>
      <c r="H1894" s="47" t="n"/>
    </row>
    <row r="1895">
      <c r="C1895" s="7" t="n"/>
      <c r="D1895" s="7" t="n"/>
      <c r="H1895" s="47" t="n"/>
    </row>
    <row r="1896">
      <c r="C1896" s="7" t="n"/>
      <c r="D1896" s="7" t="n"/>
      <c r="H1896" s="47" t="n"/>
    </row>
    <row r="1897">
      <c r="C1897" s="7" t="n"/>
      <c r="D1897" s="7" t="n"/>
      <c r="H1897" s="47" t="n"/>
    </row>
    <row r="1898">
      <c r="C1898" s="7" t="n"/>
      <c r="D1898" s="7" t="n"/>
      <c r="H1898" s="47" t="n"/>
    </row>
    <row r="1899">
      <c r="C1899" s="7" t="n"/>
      <c r="D1899" s="7" t="n"/>
      <c r="H1899" s="47" t="n"/>
    </row>
    <row r="1900">
      <c r="C1900" s="7" t="n"/>
      <c r="D1900" s="7" t="n"/>
      <c r="H1900" s="47" t="n"/>
    </row>
    <row r="1901">
      <c r="C1901" s="7" t="n"/>
      <c r="D1901" s="7" t="n"/>
      <c r="H1901" s="47" t="n"/>
    </row>
    <row r="1902">
      <c r="C1902" s="7" t="n"/>
      <c r="D1902" s="7" t="n"/>
      <c r="H1902" s="47" t="n"/>
    </row>
    <row r="1903">
      <c r="C1903" s="7" t="n"/>
      <c r="D1903" s="7" t="n"/>
      <c r="H1903" s="47" t="n"/>
    </row>
    <row r="1904">
      <c r="C1904" s="7" t="n"/>
      <c r="D1904" s="7" t="n"/>
      <c r="H1904" s="47" t="n"/>
    </row>
    <row r="1905">
      <c r="C1905" s="7" t="n"/>
      <c r="D1905" s="7" t="n"/>
      <c r="H1905" s="47" t="n"/>
    </row>
    <row r="1906">
      <c r="C1906" s="7" t="n"/>
      <c r="D1906" s="7" t="n"/>
      <c r="H1906" s="47" t="n"/>
    </row>
    <row r="1907">
      <c r="C1907" s="7" t="n"/>
      <c r="D1907" s="7" t="n"/>
      <c r="H1907" s="47" t="n"/>
    </row>
    <row r="1908">
      <c r="C1908" s="7" t="n"/>
      <c r="D1908" s="7" t="n"/>
      <c r="H1908" s="47" t="n"/>
    </row>
    <row r="1909">
      <c r="C1909" s="7" t="n"/>
      <c r="D1909" s="7" t="n"/>
      <c r="H1909" s="47" t="n"/>
    </row>
    <row r="1910">
      <c r="C1910" s="7" t="n"/>
      <c r="D1910" s="7" t="n"/>
      <c r="H1910" s="47" t="n"/>
    </row>
    <row r="1911">
      <c r="C1911" s="7" t="n"/>
      <c r="D1911" s="7" t="n"/>
      <c r="H1911" s="47" t="n"/>
    </row>
    <row r="1912">
      <c r="C1912" s="7" t="n"/>
      <c r="D1912" s="7" t="n"/>
      <c r="H1912" s="47" t="n"/>
    </row>
    <row r="1913">
      <c r="C1913" s="7" t="n"/>
      <c r="D1913" s="7" t="n"/>
      <c r="H1913" s="47" t="n"/>
    </row>
    <row r="1914">
      <c r="C1914" s="7" t="n"/>
      <c r="D1914" s="7" t="n"/>
      <c r="H1914" s="47" t="n"/>
    </row>
    <row r="1915">
      <c r="C1915" s="7" t="n"/>
      <c r="D1915" s="7" t="n"/>
      <c r="H1915" s="47" t="n"/>
    </row>
    <row r="1916">
      <c r="C1916" s="7" t="n"/>
      <c r="D1916" s="7" t="n"/>
      <c r="H1916" s="47" t="n"/>
    </row>
    <row r="1917">
      <c r="C1917" s="7" t="n"/>
      <c r="D1917" s="7" t="n"/>
      <c r="H1917" s="47" t="n"/>
    </row>
    <row r="1918">
      <c r="C1918" s="7" t="n"/>
      <c r="D1918" s="7" t="n"/>
      <c r="H1918" s="47" t="n"/>
    </row>
    <row r="1919">
      <c r="C1919" s="7" t="n"/>
      <c r="D1919" s="7" t="n"/>
      <c r="H1919" s="47" t="n"/>
    </row>
    <row r="1920">
      <c r="C1920" s="7" t="n"/>
      <c r="D1920" s="7" t="n"/>
      <c r="H1920" s="47" t="n"/>
    </row>
    <row r="1921">
      <c r="C1921" s="7" t="n"/>
      <c r="D1921" s="7" t="n"/>
      <c r="H1921" s="47" t="n"/>
    </row>
    <row r="1922">
      <c r="C1922" s="7" t="n"/>
      <c r="D1922" s="7" t="n"/>
      <c r="H1922" s="47" t="n"/>
    </row>
    <row r="1923">
      <c r="C1923" s="7" t="n"/>
      <c r="D1923" s="7" t="n"/>
      <c r="H1923" s="47" t="n"/>
    </row>
    <row r="1924">
      <c r="C1924" s="7" t="n"/>
      <c r="D1924" s="7" t="n"/>
      <c r="H1924" s="47" t="n"/>
    </row>
    <row r="1925">
      <c r="C1925" s="7" t="n"/>
      <c r="D1925" s="7" t="n"/>
      <c r="H1925" s="47" t="n"/>
    </row>
    <row r="1926">
      <c r="C1926" s="7" t="n"/>
      <c r="D1926" s="7" t="n"/>
      <c r="H1926" s="47" t="n"/>
    </row>
    <row r="1927">
      <c r="C1927" s="7" t="n"/>
      <c r="D1927" s="7" t="n"/>
      <c r="H1927" s="47" t="n"/>
    </row>
    <row r="1928">
      <c r="C1928" s="7" t="n"/>
      <c r="D1928" s="7" t="n"/>
      <c r="H1928" s="47" t="n"/>
    </row>
    <row r="1929">
      <c r="C1929" s="7" t="n"/>
      <c r="D1929" s="7" t="n"/>
      <c r="H1929" s="47" t="n"/>
    </row>
    <row r="1930">
      <c r="C1930" s="7" t="n"/>
      <c r="D1930" s="7" t="n"/>
      <c r="H1930" s="47" t="n"/>
    </row>
    <row r="1931">
      <c r="C1931" s="7" t="n"/>
      <c r="D1931" s="7" t="n"/>
      <c r="H1931" s="47" t="n"/>
    </row>
    <row r="1932">
      <c r="C1932" s="7" t="n"/>
      <c r="D1932" s="7" t="n"/>
      <c r="H1932" s="47" t="n"/>
    </row>
    <row r="1933">
      <c r="C1933" s="7" t="n"/>
      <c r="D1933" s="7" t="n"/>
      <c r="H1933" s="47" t="n"/>
    </row>
    <row r="1934">
      <c r="C1934" s="7" t="n"/>
      <c r="D1934" s="7" t="n"/>
      <c r="H1934" s="47" t="n"/>
    </row>
    <row r="1935">
      <c r="C1935" s="7" t="n"/>
      <c r="D1935" s="7" t="n"/>
      <c r="H1935" s="47" t="n"/>
    </row>
    <row r="1936">
      <c r="C1936" s="7" t="n"/>
      <c r="D1936" s="7" t="n"/>
      <c r="H1936" s="47" t="n"/>
    </row>
    <row r="1937">
      <c r="C1937" s="7" t="n"/>
      <c r="D1937" s="7" t="n"/>
      <c r="H1937" s="47" t="n"/>
    </row>
    <row r="1938">
      <c r="C1938" s="7" t="n"/>
      <c r="D1938" s="7" t="n"/>
      <c r="H1938" s="47" t="n"/>
    </row>
    <row r="1939">
      <c r="C1939" s="7" t="n"/>
      <c r="D1939" s="7" t="n"/>
      <c r="H1939" s="47" t="n"/>
    </row>
    <row r="1940">
      <c r="C1940" s="7" t="n"/>
      <c r="D1940" s="7" t="n"/>
      <c r="H1940" s="47" t="n"/>
    </row>
    <row r="1941">
      <c r="C1941" s="7" t="n"/>
      <c r="D1941" s="7" t="n"/>
      <c r="H1941" s="47" t="n"/>
    </row>
    <row r="1942">
      <c r="C1942" s="7" t="n"/>
      <c r="D1942" s="7" t="n"/>
      <c r="H1942" s="47" t="n"/>
    </row>
    <row r="1943">
      <c r="C1943" s="7" t="n"/>
      <c r="D1943" s="7" t="n"/>
      <c r="H1943" s="47" t="n"/>
    </row>
    <row r="1944">
      <c r="C1944" s="7" t="n"/>
      <c r="D1944" s="7" t="n"/>
      <c r="H1944" s="47" t="n"/>
    </row>
    <row r="1945">
      <c r="C1945" s="7" t="n"/>
      <c r="D1945" s="7" t="n"/>
      <c r="H1945" s="47" t="n"/>
    </row>
    <row r="1946">
      <c r="C1946" s="7" t="n"/>
      <c r="D1946" s="7" t="n"/>
      <c r="H1946" s="47" t="n"/>
    </row>
    <row r="1947">
      <c r="C1947" s="7" t="n"/>
      <c r="D1947" s="7" t="n"/>
      <c r="H1947" s="47" t="n"/>
    </row>
    <row r="1948">
      <c r="C1948" s="7" t="n"/>
      <c r="D1948" s="7" t="n"/>
      <c r="H1948" s="47" t="n"/>
    </row>
    <row r="1949">
      <c r="C1949" s="7" t="n"/>
      <c r="D1949" s="7" t="n"/>
      <c r="H1949" s="47" t="n"/>
    </row>
    <row r="1950">
      <c r="C1950" s="7" t="n"/>
      <c r="D1950" s="7" t="n"/>
      <c r="H1950" s="47" t="n"/>
    </row>
    <row r="1951">
      <c r="C1951" s="7" t="n"/>
      <c r="D1951" s="7" t="n"/>
      <c r="H1951" s="47" t="n"/>
    </row>
    <row r="1952">
      <c r="C1952" s="7" t="n"/>
      <c r="D1952" s="7" t="n"/>
      <c r="H1952" s="47" t="n"/>
    </row>
    <row r="1953">
      <c r="C1953" s="7" t="n"/>
      <c r="D1953" s="7" t="n"/>
      <c r="H1953" s="47" t="n"/>
    </row>
    <row r="1954">
      <c r="C1954" s="7" t="n"/>
      <c r="D1954" s="7" t="n"/>
      <c r="H1954" s="47" t="n"/>
    </row>
    <row r="1955">
      <c r="C1955" s="7" t="n"/>
      <c r="D1955" s="7" t="n"/>
      <c r="H1955" s="47" t="n"/>
    </row>
    <row r="1956">
      <c r="C1956" s="7" t="n"/>
      <c r="D1956" s="7" t="n"/>
      <c r="H1956" s="47" t="n"/>
    </row>
    <row r="1957">
      <c r="C1957" s="7" t="n"/>
      <c r="D1957" s="7" t="n"/>
      <c r="H1957" s="47" t="n"/>
    </row>
    <row r="1958">
      <c r="C1958" s="7" t="n"/>
      <c r="D1958" s="7" t="n"/>
      <c r="H1958" s="47" t="n"/>
    </row>
    <row r="1959">
      <c r="C1959" s="7" t="n"/>
      <c r="D1959" s="7" t="n"/>
      <c r="H1959" s="47" t="n"/>
    </row>
    <row r="1960">
      <c r="C1960" s="7" t="n"/>
      <c r="D1960" s="7" t="n"/>
      <c r="H1960" s="47" t="n"/>
    </row>
    <row r="1961">
      <c r="C1961" s="7" t="n"/>
      <c r="D1961" s="7" t="n"/>
      <c r="H1961" s="47" t="n"/>
    </row>
    <row r="1962">
      <c r="C1962" s="7" t="n"/>
      <c r="D1962" s="7" t="n"/>
      <c r="H1962" s="47" t="n"/>
    </row>
    <row r="1963">
      <c r="C1963" s="7" t="n"/>
      <c r="D1963" s="7" t="n"/>
      <c r="H1963" s="47" t="n"/>
    </row>
    <row r="1964">
      <c r="C1964" s="7" t="n"/>
      <c r="D1964" s="7" t="n"/>
      <c r="H1964" s="47" t="n"/>
    </row>
    <row r="1965">
      <c r="C1965" s="7" t="n"/>
      <c r="D1965" s="7" t="n"/>
      <c r="H1965" s="47" t="n"/>
    </row>
    <row r="1966">
      <c r="C1966" s="7" t="n"/>
      <c r="D1966" s="7" t="n"/>
      <c r="H1966" s="47" t="n"/>
    </row>
    <row r="1967">
      <c r="C1967" s="7" t="n"/>
      <c r="D1967" s="7" t="n"/>
      <c r="H1967" s="47" t="n"/>
    </row>
    <row r="1968">
      <c r="C1968" s="7" t="n"/>
      <c r="D1968" s="7" t="n"/>
      <c r="H1968" s="47" t="n"/>
    </row>
    <row r="1969">
      <c r="C1969" s="7" t="n"/>
      <c r="D1969" s="7" t="n"/>
      <c r="H1969" s="47" t="n"/>
    </row>
    <row r="1970">
      <c r="C1970" s="7" t="n"/>
      <c r="D1970" s="7" t="n"/>
      <c r="H1970" s="47" t="n"/>
    </row>
    <row r="1971">
      <c r="C1971" s="7" t="n"/>
      <c r="D1971" s="7" t="n"/>
      <c r="H1971" s="47" t="n"/>
    </row>
    <row r="1972">
      <c r="C1972" s="7" t="n"/>
      <c r="D1972" s="7" t="n"/>
      <c r="H1972" s="47" t="n"/>
    </row>
    <row r="1973">
      <c r="C1973" s="7" t="n"/>
      <c r="D1973" s="7" t="n"/>
      <c r="H1973" s="47" t="n"/>
    </row>
    <row r="1974">
      <c r="C1974" s="7" t="n"/>
      <c r="D1974" s="7" t="n"/>
      <c r="H1974" s="47" t="n"/>
    </row>
    <row r="1975">
      <c r="C1975" s="7" t="n"/>
      <c r="D1975" s="7" t="n"/>
      <c r="H1975" s="47" t="n"/>
    </row>
    <row r="1976">
      <c r="C1976" s="7" t="n"/>
      <c r="D1976" s="7" t="n"/>
      <c r="H1976" s="47" t="n"/>
    </row>
    <row r="1977">
      <c r="C1977" s="7" t="n"/>
      <c r="D1977" s="7" t="n"/>
      <c r="H1977" s="47" t="n"/>
    </row>
    <row r="1978">
      <c r="C1978" s="7" t="n"/>
      <c r="D1978" s="7" t="n"/>
      <c r="H1978" s="47" t="n"/>
    </row>
    <row r="1979">
      <c r="C1979" s="7" t="n"/>
      <c r="D1979" s="7" t="n"/>
      <c r="H1979" s="47" t="n"/>
    </row>
    <row r="1980">
      <c r="C1980" s="7" t="n"/>
      <c r="D1980" s="7" t="n"/>
      <c r="H1980" s="47" t="n"/>
    </row>
    <row r="1981">
      <c r="C1981" s="7" t="n"/>
      <c r="D1981" s="7" t="n"/>
      <c r="H1981" s="47" t="n"/>
    </row>
    <row r="1982">
      <c r="C1982" s="7" t="n"/>
      <c r="D1982" s="7" t="n"/>
      <c r="H1982" s="47" t="n"/>
    </row>
    <row r="1983">
      <c r="C1983" s="7" t="n"/>
      <c r="D1983" s="7" t="n"/>
      <c r="H1983" s="47" t="n"/>
    </row>
    <row r="1984">
      <c r="C1984" s="7" t="n"/>
      <c r="D1984" s="7" t="n"/>
      <c r="H1984" s="47" t="n"/>
    </row>
    <row r="1985">
      <c r="C1985" s="7" t="n"/>
      <c r="D1985" s="7" t="n"/>
      <c r="H1985" s="47" t="n"/>
    </row>
    <row r="1986">
      <c r="C1986" s="7" t="n"/>
      <c r="D1986" s="7" t="n"/>
      <c r="H1986" s="47" t="n"/>
    </row>
    <row r="1987">
      <c r="C1987" s="7" t="n"/>
      <c r="D1987" s="7" t="n"/>
      <c r="H1987" s="47" t="n"/>
    </row>
    <row r="1988">
      <c r="C1988" s="7" t="n"/>
      <c r="D1988" s="7" t="n"/>
      <c r="H1988" s="47" t="n"/>
    </row>
    <row r="1989">
      <c r="C1989" s="7" t="n"/>
      <c r="D1989" s="7" t="n"/>
      <c r="H1989" s="47" t="n"/>
    </row>
    <row r="1990">
      <c r="C1990" s="7" t="n"/>
      <c r="D1990" s="7" t="n"/>
      <c r="H1990" s="47" t="n"/>
    </row>
    <row r="1991">
      <c r="C1991" s="7" t="n"/>
      <c r="D1991" s="7" t="n"/>
      <c r="H1991" s="47" t="n"/>
    </row>
    <row r="1992">
      <c r="C1992" s="7" t="n"/>
      <c r="D1992" s="7" t="n"/>
      <c r="H1992" s="47" t="n"/>
    </row>
    <row r="1993">
      <c r="C1993" s="7" t="n"/>
      <c r="D1993" s="7" t="n"/>
      <c r="H1993" s="47" t="n"/>
    </row>
    <row r="1994">
      <c r="C1994" s="7" t="n"/>
      <c r="D1994" s="7" t="n"/>
      <c r="H1994" s="47" t="n"/>
    </row>
    <row r="1995">
      <c r="C1995" s="7" t="n"/>
      <c r="D1995" s="7" t="n"/>
      <c r="H1995" s="47" t="n"/>
    </row>
    <row r="1996">
      <c r="C1996" s="7" t="n"/>
      <c r="D1996" s="7" t="n"/>
      <c r="H1996" s="47" t="n"/>
    </row>
    <row r="1997">
      <c r="C1997" s="7" t="n"/>
      <c r="D1997" s="7" t="n"/>
      <c r="H1997" s="47" t="n"/>
    </row>
    <row r="1998">
      <c r="C1998" s="7" t="n"/>
      <c r="D1998" s="7" t="n"/>
      <c r="H1998" s="47" t="n"/>
    </row>
    <row r="1999">
      <c r="C1999" s="7" t="n"/>
      <c r="D1999" s="7" t="n"/>
      <c r="H1999" s="47" t="n"/>
    </row>
    <row r="2000">
      <c r="C2000" s="7" t="n"/>
      <c r="D2000" s="7" t="n"/>
      <c r="H2000" s="47" t="n"/>
    </row>
    <row r="2001">
      <c r="C2001" s="7" t="n"/>
      <c r="D2001" s="7" t="n"/>
      <c r="H2001" s="47" t="n"/>
    </row>
    <row r="2002">
      <c r="C2002" s="7" t="n"/>
      <c r="D2002" s="7" t="n"/>
      <c r="H2002" s="47" t="n"/>
    </row>
    <row r="2003">
      <c r="C2003" s="7" t="n"/>
      <c r="D2003" s="7" t="n"/>
      <c r="H2003" s="47" t="n"/>
    </row>
    <row r="2004">
      <c r="C2004" s="7" t="n"/>
      <c r="D2004" s="7" t="n"/>
      <c r="H2004" s="47" t="n"/>
    </row>
    <row r="2005">
      <c r="C2005" s="7" t="n"/>
      <c r="D2005" s="7" t="n"/>
      <c r="H2005" s="47" t="n"/>
    </row>
    <row r="2006">
      <c r="C2006" s="7" t="n"/>
      <c r="D2006" s="7" t="n"/>
      <c r="H2006" s="47" t="n"/>
    </row>
    <row r="2007">
      <c r="C2007" s="7" t="n"/>
      <c r="D2007" s="7" t="n"/>
      <c r="H2007" s="47" t="n"/>
    </row>
    <row r="2008">
      <c r="C2008" s="7" t="n"/>
      <c r="D2008" s="7" t="n"/>
      <c r="H2008" s="47" t="n"/>
    </row>
    <row r="2009">
      <c r="C2009" s="7" t="n"/>
      <c r="D2009" s="7" t="n"/>
      <c r="H2009" s="47" t="n"/>
    </row>
    <row r="2010">
      <c r="C2010" s="7" t="n"/>
      <c r="D2010" s="7" t="n"/>
      <c r="H2010" s="47" t="n"/>
    </row>
    <row r="2011">
      <c r="C2011" s="7" t="n"/>
      <c r="D2011" s="7" t="n"/>
      <c r="H2011" s="47" t="n"/>
    </row>
    <row r="2012">
      <c r="C2012" s="7" t="n"/>
      <c r="D2012" s="7" t="n"/>
      <c r="H2012" s="47" t="n"/>
    </row>
    <row r="2013">
      <c r="C2013" s="7" t="n"/>
      <c r="D2013" s="7" t="n"/>
      <c r="H2013" s="47" t="n"/>
    </row>
    <row r="2014">
      <c r="C2014" s="7" t="n"/>
      <c r="D2014" s="7" t="n"/>
      <c r="H2014" s="47" t="n"/>
    </row>
    <row r="2015">
      <c r="C2015" s="7" t="n"/>
      <c r="D2015" s="7" t="n"/>
      <c r="H2015" s="47" t="n"/>
    </row>
    <row r="2016">
      <c r="C2016" s="7" t="n"/>
      <c r="D2016" s="7" t="n"/>
      <c r="H2016" s="47" t="n"/>
    </row>
    <row r="2017">
      <c r="C2017" s="7" t="n"/>
      <c r="D2017" s="7" t="n"/>
      <c r="H2017" s="47" t="n"/>
    </row>
    <row r="2018">
      <c r="C2018" s="7" t="n"/>
      <c r="D2018" s="7" t="n"/>
      <c r="H2018" s="47" t="n"/>
    </row>
    <row r="2019">
      <c r="C2019" s="7" t="n"/>
      <c r="D2019" s="7" t="n"/>
      <c r="H2019" s="47" t="n"/>
    </row>
    <row r="2020">
      <c r="C2020" s="7" t="n"/>
      <c r="D2020" s="7" t="n"/>
      <c r="H2020" s="47" t="n"/>
    </row>
    <row r="2021">
      <c r="C2021" s="7" t="n"/>
      <c r="D2021" s="7" t="n"/>
      <c r="H2021" s="47" t="n"/>
    </row>
    <row r="2022">
      <c r="C2022" s="7" t="n"/>
      <c r="D2022" s="7" t="n"/>
      <c r="H2022" s="47" t="n"/>
    </row>
    <row r="2023">
      <c r="C2023" s="7" t="n"/>
      <c r="D2023" s="7" t="n"/>
      <c r="H2023" s="47" t="n"/>
    </row>
    <row r="2024">
      <c r="C2024" s="7" t="n"/>
      <c r="D2024" s="7" t="n"/>
      <c r="H2024" s="47" t="n"/>
    </row>
    <row r="2025">
      <c r="C2025" s="7" t="n"/>
      <c r="D2025" s="7" t="n"/>
      <c r="H2025" s="47" t="n"/>
    </row>
    <row r="2026">
      <c r="C2026" s="7" t="n"/>
      <c r="D2026" s="7" t="n"/>
      <c r="H2026" s="47" t="n"/>
    </row>
    <row r="2027">
      <c r="C2027" s="7" t="n"/>
      <c r="D2027" s="7" t="n"/>
      <c r="H2027" s="47" t="n"/>
    </row>
    <row r="2028">
      <c r="C2028" s="7" t="n"/>
      <c r="D2028" s="7" t="n"/>
      <c r="H2028" s="47" t="n"/>
    </row>
    <row r="2029">
      <c r="C2029" s="7" t="n"/>
      <c r="D2029" s="7" t="n"/>
      <c r="H2029" s="47" t="n"/>
    </row>
    <row r="2030">
      <c r="C2030" s="7" t="n"/>
      <c r="D2030" s="7" t="n"/>
      <c r="H2030" s="47" t="n"/>
    </row>
    <row r="2031">
      <c r="C2031" s="7" t="n"/>
      <c r="D2031" s="7" t="n"/>
      <c r="H2031" s="47" t="n"/>
    </row>
    <row r="2032">
      <c r="C2032" s="7" t="n"/>
      <c r="D2032" s="7" t="n"/>
      <c r="H2032" s="47" t="n"/>
    </row>
    <row r="2033">
      <c r="C2033" s="7" t="n"/>
      <c r="D2033" s="7" t="n"/>
      <c r="H2033" s="47" t="n"/>
    </row>
    <row r="2034">
      <c r="C2034" s="7" t="n"/>
      <c r="D2034" s="7" t="n"/>
      <c r="H2034" s="47" t="n"/>
    </row>
    <row r="2035">
      <c r="C2035" s="7" t="n"/>
      <c r="D2035" s="7" t="n"/>
      <c r="H2035" s="47" t="n"/>
    </row>
    <row r="2036">
      <c r="C2036" s="7" t="n"/>
      <c r="D2036" s="7" t="n"/>
      <c r="H2036" s="47" t="n"/>
    </row>
    <row r="2037">
      <c r="C2037" s="7" t="n"/>
      <c r="D2037" s="7" t="n"/>
      <c r="H2037" s="47" t="n"/>
    </row>
    <row r="2038">
      <c r="C2038" s="7" t="n"/>
      <c r="D2038" s="7" t="n"/>
      <c r="H2038" s="47" t="n"/>
    </row>
    <row r="2039">
      <c r="C2039" s="7" t="n"/>
      <c r="D2039" s="7" t="n"/>
      <c r="H2039" s="47" t="n"/>
    </row>
    <row r="2040">
      <c r="C2040" s="7" t="n"/>
      <c r="D2040" s="7" t="n"/>
      <c r="H2040" s="47" t="n"/>
    </row>
    <row r="2041">
      <c r="C2041" s="7" t="n"/>
      <c r="D2041" s="7" t="n"/>
      <c r="H2041" s="47" t="n"/>
    </row>
    <row r="2042">
      <c r="C2042" s="7" t="n"/>
      <c r="D2042" s="7" t="n"/>
      <c r="H2042" s="47" t="n"/>
    </row>
    <row r="2043">
      <c r="C2043" s="7" t="n"/>
      <c r="D2043" s="7" t="n"/>
      <c r="H2043" s="47" t="n"/>
    </row>
    <row r="2044">
      <c r="C2044" s="7" t="n"/>
      <c r="D2044" s="7" t="n"/>
      <c r="H2044" s="47" t="n"/>
    </row>
    <row r="2045">
      <c r="C2045" s="7" t="n"/>
      <c r="D2045" s="7" t="n"/>
      <c r="H2045" s="47" t="n"/>
    </row>
    <row r="2046">
      <c r="C2046" s="7" t="n"/>
      <c r="D2046" s="7" t="n"/>
      <c r="H2046" s="47" t="n"/>
    </row>
    <row r="2047">
      <c r="C2047" s="7" t="n"/>
      <c r="D2047" s="7" t="n"/>
      <c r="H2047" s="47" t="n"/>
    </row>
    <row r="2048">
      <c r="C2048" s="7" t="n"/>
      <c r="D2048" s="7" t="n"/>
      <c r="H2048" s="47" t="n"/>
    </row>
    <row r="2049">
      <c r="C2049" s="7" t="n"/>
      <c r="D2049" s="7" t="n"/>
      <c r="H2049" s="47" t="n"/>
    </row>
    <row r="2050">
      <c r="C2050" s="7" t="n"/>
      <c r="D2050" s="7" t="n"/>
      <c r="H2050" s="47" t="n"/>
    </row>
    <row r="2051">
      <c r="C2051" s="7" t="n"/>
      <c r="D2051" s="7" t="n"/>
      <c r="H2051" s="47" t="n"/>
    </row>
    <row r="2052">
      <c r="C2052" s="7" t="n"/>
      <c r="D2052" s="7" t="n"/>
      <c r="H2052" s="47" t="n"/>
    </row>
    <row r="2053">
      <c r="C2053" s="7" t="n"/>
      <c r="D2053" s="7" t="n"/>
      <c r="H2053" s="47" t="n"/>
    </row>
    <row r="2054">
      <c r="C2054" s="7" t="n"/>
      <c r="D2054" s="7" t="n"/>
      <c r="H2054" s="47" t="n"/>
    </row>
    <row r="2055">
      <c r="C2055" s="7" t="n"/>
      <c r="D2055" s="7" t="n"/>
      <c r="H2055" s="47" t="n"/>
    </row>
    <row r="2056">
      <c r="C2056" s="7" t="n"/>
      <c r="D2056" s="7" t="n"/>
      <c r="H2056" s="47" t="n"/>
    </row>
    <row r="2057">
      <c r="C2057" s="7" t="n"/>
      <c r="D2057" s="7" t="n"/>
      <c r="H2057" s="47" t="n"/>
    </row>
    <row r="2058">
      <c r="C2058" s="7" t="n"/>
      <c r="D2058" s="7" t="n"/>
      <c r="H2058" s="47" t="n"/>
    </row>
    <row r="2059">
      <c r="C2059" s="7" t="n"/>
      <c r="D2059" s="7" t="n"/>
      <c r="H2059" s="47" t="n"/>
    </row>
    <row r="2060">
      <c r="C2060" s="7" t="n"/>
      <c r="D2060" s="7" t="n"/>
      <c r="H2060" s="47" t="n"/>
    </row>
    <row r="2061">
      <c r="C2061" s="7" t="n"/>
      <c r="D2061" s="7" t="n"/>
      <c r="H2061" s="47" t="n"/>
    </row>
    <row r="2062">
      <c r="C2062" s="7" t="n"/>
      <c r="D2062" s="7" t="n"/>
      <c r="H2062" s="47" t="n"/>
    </row>
    <row r="2063">
      <c r="C2063" s="7" t="n"/>
      <c r="D2063" s="7" t="n"/>
      <c r="H2063" s="47" t="n"/>
    </row>
    <row r="2064">
      <c r="C2064" s="7" t="n"/>
      <c r="D2064" s="7" t="n"/>
      <c r="H2064" s="47" t="n"/>
    </row>
    <row r="2065">
      <c r="C2065" s="7" t="n"/>
      <c r="D2065" s="7" t="n"/>
      <c r="H2065" s="47" t="n"/>
    </row>
    <row r="2066">
      <c r="C2066" s="7" t="n"/>
      <c r="D2066" s="7" t="n"/>
      <c r="H2066" s="47" t="n"/>
    </row>
    <row r="2067">
      <c r="C2067" s="7" t="n"/>
      <c r="D2067" s="7" t="n"/>
      <c r="H2067" s="47" t="n"/>
    </row>
    <row r="2068">
      <c r="C2068" s="7" t="n"/>
      <c r="D2068" s="7" t="n"/>
      <c r="H2068" s="47" t="n"/>
    </row>
    <row r="2069">
      <c r="C2069" s="7" t="n"/>
      <c r="D2069" s="7" t="n"/>
      <c r="H2069" s="47" t="n"/>
    </row>
    <row r="2070">
      <c r="C2070" s="7" t="n"/>
      <c r="D2070" s="7" t="n"/>
      <c r="H2070" s="47" t="n"/>
    </row>
    <row r="2071">
      <c r="C2071" s="7" t="n"/>
      <c r="D2071" s="7" t="n"/>
      <c r="H2071" s="47" t="n"/>
    </row>
    <row r="2072">
      <c r="C2072" s="7" t="n"/>
      <c r="D2072" s="7" t="n"/>
      <c r="H2072" s="47" t="n"/>
    </row>
    <row r="2073">
      <c r="C2073" s="7" t="n"/>
      <c r="D2073" s="7" t="n"/>
      <c r="H2073" s="47" t="n"/>
    </row>
    <row r="2074">
      <c r="C2074" s="7" t="n"/>
      <c r="D2074" s="7" t="n"/>
      <c r="H2074" s="47" t="n"/>
    </row>
    <row r="2075">
      <c r="C2075" s="7" t="n"/>
      <c r="D2075" s="7" t="n"/>
      <c r="H2075" s="47" t="n"/>
    </row>
    <row r="2076">
      <c r="C2076" s="7" t="n"/>
      <c r="D2076" s="7" t="n"/>
      <c r="H2076" s="47" t="n"/>
    </row>
    <row r="2077">
      <c r="C2077" s="7" t="n"/>
      <c r="D2077" s="7" t="n"/>
      <c r="H2077" s="47" t="n"/>
    </row>
    <row r="2078">
      <c r="C2078" s="7" t="n"/>
      <c r="D2078" s="7" t="n"/>
      <c r="H2078" s="47" t="n"/>
    </row>
    <row r="2079">
      <c r="C2079" s="7" t="n"/>
      <c r="D2079" s="7" t="n"/>
      <c r="H2079" s="47" t="n"/>
    </row>
    <row r="2080">
      <c r="C2080" s="7" t="n"/>
      <c r="D2080" s="7" t="n"/>
      <c r="H2080" s="47" t="n"/>
    </row>
    <row r="2081">
      <c r="C2081" s="7" t="n"/>
      <c r="D2081" s="7" t="n"/>
      <c r="H2081" s="47" t="n"/>
    </row>
    <row r="2082">
      <c r="C2082" s="7" t="n"/>
      <c r="D2082" s="7" t="n"/>
      <c r="H2082" s="47" t="n"/>
    </row>
    <row r="2083">
      <c r="C2083" s="7" t="n"/>
      <c r="D2083" s="7" t="n"/>
      <c r="H2083" s="47" t="n"/>
    </row>
    <row r="2084">
      <c r="C2084" s="7" t="n"/>
      <c r="D2084" s="7" t="n"/>
      <c r="H2084" s="47" t="n"/>
    </row>
    <row r="2085">
      <c r="C2085" s="7" t="n"/>
      <c r="D2085" s="7" t="n"/>
      <c r="H2085" s="47" t="n"/>
    </row>
    <row r="2086">
      <c r="C2086" s="7" t="n"/>
      <c r="D2086" s="7" t="n"/>
      <c r="H2086" s="47" t="n"/>
    </row>
    <row r="2087">
      <c r="C2087" s="7" t="n"/>
      <c r="D2087" s="7" t="n"/>
      <c r="H2087" s="47" t="n"/>
    </row>
    <row r="2088">
      <c r="C2088" s="7" t="n"/>
      <c r="D2088" s="7" t="n"/>
      <c r="H2088" s="47" t="n"/>
    </row>
    <row r="2089">
      <c r="C2089" s="7" t="n"/>
      <c r="D2089" s="7" t="n"/>
      <c r="H2089" s="47" t="n"/>
    </row>
    <row r="2090">
      <c r="C2090" s="7" t="n"/>
      <c r="D2090" s="7" t="n"/>
      <c r="H2090" s="47" t="n"/>
    </row>
    <row r="2091">
      <c r="C2091" s="7" t="n"/>
      <c r="D2091" s="7" t="n"/>
      <c r="H2091" s="47" t="n"/>
    </row>
    <row r="2092">
      <c r="C2092" s="7" t="n"/>
      <c r="D2092" s="7" t="n"/>
      <c r="H2092" s="47" t="n"/>
    </row>
    <row r="2093">
      <c r="C2093" s="7" t="n"/>
      <c r="D2093" s="7" t="n"/>
      <c r="H2093" s="47" t="n"/>
    </row>
    <row r="2094">
      <c r="C2094" s="7" t="n"/>
      <c r="D2094" s="7" t="n"/>
      <c r="H2094" s="47" t="n"/>
    </row>
    <row r="2095">
      <c r="C2095" s="7" t="n"/>
      <c r="D2095" s="7" t="n"/>
      <c r="H2095" s="47" t="n"/>
    </row>
    <row r="2096">
      <c r="C2096" s="7" t="n"/>
      <c r="D2096" s="7" t="n"/>
      <c r="H2096" s="47" t="n"/>
    </row>
    <row r="2097">
      <c r="C2097" s="7" t="n"/>
      <c r="D2097" s="7" t="n"/>
      <c r="H2097" s="47" t="n"/>
    </row>
    <row r="2098">
      <c r="C2098" s="7" t="n"/>
      <c r="D2098" s="7" t="n"/>
      <c r="H2098" s="47" t="n"/>
    </row>
    <row r="2099">
      <c r="C2099" s="7" t="n"/>
      <c r="D2099" s="7" t="n"/>
      <c r="H2099" s="47" t="n"/>
    </row>
    <row r="2100">
      <c r="C2100" s="7" t="n"/>
      <c r="D2100" s="7" t="n"/>
      <c r="H2100" s="47" t="n"/>
    </row>
    <row r="2101">
      <c r="C2101" s="7" t="n"/>
      <c r="D2101" s="7" t="n"/>
      <c r="H2101" s="47" t="n"/>
    </row>
    <row r="2102">
      <c r="C2102" s="7" t="n"/>
      <c r="D2102" s="7" t="n"/>
      <c r="H2102" s="47" t="n"/>
    </row>
    <row r="2103">
      <c r="C2103" s="7" t="n"/>
      <c r="D2103" s="7" t="n"/>
      <c r="H2103" s="47" t="n"/>
    </row>
    <row r="2104">
      <c r="C2104" s="7" t="n"/>
      <c r="D2104" s="7" t="n"/>
      <c r="H2104" s="47" t="n"/>
    </row>
    <row r="2105">
      <c r="C2105" s="7" t="n"/>
      <c r="D2105" s="7" t="n"/>
      <c r="H2105" s="47" t="n"/>
    </row>
    <row r="2106">
      <c r="C2106" s="7" t="n"/>
      <c r="D2106" s="7" t="n"/>
      <c r="H2106" s="47" t="n"/>
    </row>
    <row r="2107">
      <c r="C2107" s="7" t="n"/>
      <c r="D2107" s="7" t="n"/>
      <c r="H2107" s="47" t="n"/>
    </row>
    <row r="2108">
      <c r="C2108" s="7" t="n"/>
      <c r="D2108" s="7" t="n"/>
      <c r="H2108" s="47" t="n"/>
    </row>
    <row r="2109">
      <c r="C2109" s="7" t="n"/>
      <c r="D2109" s="7" t="n"/>
      <c r="H2109" s="47" t="n"/>
    </row>
    <row r="2110">
      <c r="C2110" s="7" t="n"/>
      <c r="D2110" s="7" t="n"/>
      <c r="H2110" s="47" t="n"/>
    </row>
    <row r="2111">
      <c r="C2111" s="7" t="n"/>
      <c r="D2111" s="7" t="n"/>
      <c r="H2111" s="47" t="n"/>
    </row>
    <row r="2112">
      <c r="C2112" s="7" t="n"/>
      <c r="D2112" s="7" t="n"/>
      <c r="H2112" s="47" t="n"/>
    </row>
    <row r="2113">
      <c r="C2113" s="7" t="n"/>
      <c r="D2113" s="7" t="n"/>
      <c r="H2113" s="47" t="n"/>
    </row>
    <row r="2114">
      <c r="C2114" s="7" t="n"/>
      <c r="D2114" s="7" t="n"/>
      <c r="H2114" s="47" t="n"/>
    </row>
    <row r="2115">
      <c r="C2115" s="7" t="n"/>
      <c r="D2115" s="7" t="n"/>
      <c r="H2115" s="47" t="n"/>
    </row>
    <row r="2116">
      <c r="C2116" s="7" t="n"/>
      <c r="D2116" s="7" t="n"/>
      <c r="H2116" s="47" t="n"/>
    </row>
    <row r="2117">
      <c r="C2117" s="7" t="n"/>
      <c r="D2117" s="7" t="n"/>
      <c r="H2117" s="47" t="n"/>
    </row>
    <row r="2118">
      <c r="C2118" s="7" t="n"/>
      <c r="D2118" s="7" t="n"/>
      <c r="H2118" s="47" t="n"/>
    </row>
    <row r="2119">
      <c r="C2119" s="7" t="n"/>
      <c r="D2119" s="7" t="n"/>
      <c r="H2119" s="47" t="n"/>
    </row>
    <row r="2120">
      <c r="C2120" s="7" t="n"/>
      <c r="D2120" s="7" t="n"/>
      <c r="H2120" s="47" t="n"/>
    </row>
    <row r="2121">
      <c r="C2121" s="7" t="n"/>
      <c r="D2121" s="7" t="n"/>
      <c r="H2121" s="47" t="n"/>
    </row>
    <row r="2122">
      <c r="C2122" s="7" t="n"/>
      <c r="D2122" s="7" t="n"/>
      <c r="H2122" s="47" t="n"/>
    </row>
    <row r="2123">
      <c r="C2123" s="7" t="n"/>
      <c r="D2123" s="7" t="n"/>
      <c r="H2123" s="47" t="n"/>
    </row>
    <row r="2124">
      <c r="C2124" s="7" t="n"/>
      <c r="D2124" s="7" t="n"/>
      <c r="H2124" s="47" t="n"/>
    </row>
    <row r="2125">
      <c r="C2125" s="7" t="n"/>
      <c r="D2125" s="7" t="n"/>
      <c r="H2125" s="47" t="n"/>
    </row>
    <row r="2126">
      <c r="C2126" s="7" t="n"/>
      <c r="D2126" s="7" t="n"/>
      <c r="H2126" s="47" t="n"/>
    </row>
    <row r="2127">
      <c r="C2127" s="7" t="n"/>
      <c r="D2127" s="7" t="n"/>
      <c r="H2127" s="47" t="n"/>
    </row>
    <row r="2128">
      <c r="C2128" s="7" t="n"/>
      <c r="D2128" s="7" t="n"/>
      <c r="H2128" s="47" t="n"/>
    </row>
    <row r="2129">
      <c r="C2129" s="7" t="n"/>
      <c r="D2129" s="7" t="n"/>
      <c r="H2129" s="47" t="n"/>
    </row>
    <row r="2130">
      <c r="C2130" s="7" t="n"/>
      <c r="D2130" s="7" t="n"/>
      <c r="H2130" s="47" t="n"/>
    </row>
    <row r="2131">
      <c r="C2131" s="7" t="n"/>
      <c r="D2131" s="7" t="n"/>
      <c r="H2131" s="47" t="n"/>
    </row>
    <row r="2132">
      <c r="C2132" s="7" t="n"/>
      <c r="D2132" s="7" t="n"/>
      <c r="H2132" s="47" t="n"/>
    </row>
    <row r="2133">
      <c r="C2133" s="7" t="n"/>
      <c r="D2133" s="7" t="n"/>
      <c r="H2133" s="47" t="n"/>
    </row>
    <row r="2134">
      <c r="C2134" s="7" t="n"/>
      <c r="D2134" s="7" t="n"/>
      <c r="H2134" s="47" t="n"/>
    </row>
    <row r="2135">
      <c r="C2135" s="7" t="n"/>
      <c r="D2135" s="7" t="n"/>
      <c r="H2135" s="47" t="n"/>
    </row>
    <row r="2136">
      <c r="C2136" s="7" t="n"/>
      <c r="D2136" s="7" t="n"/>
      <c r="H2136" s="47" t="n"/>
    </row>
    <row r="2137">
      <c r="C2137" s="7" t="n"/>
      <c r="D2137" s="7" t="n"/>
      <c r="H2137" s="47" t="n"/>
    </row>
    <row r="2138">
      <c r="C2138" s="7" t="n"/>
      <c r="D2138" s="7" t="n"/>
      <c r="H2138" s="47" t="n"/>
    </row>
    <row r="2139">
      <c r="C2139" s="7" t="n"/>
      <c r="D2139" s="7" t="n"/>
      <c r="H2139" s="47" t="n"/>
    </row>
    <row r="2140">
      <c r="C2140" s="7" t="n"/>
      <c r="D2140" s="7" t="n"/>
      <c r="H2140" s="47" t="n"/>
    </row>
    <row r="2141" ht="29.25" customHeight="1">
      <c r="C2141" s="7" t="n"/>
      <c r="D2141" s="7" t="n"/>
      <c r="H2141" s="47" t="n"/>
    </row>
    <row r="2142">
      <c r="C2142" s="7" t="n"/>
      <c r="D2142" s="7" t="n"/>
      <c r="H2142" s="47" t="n"/>
    </row>
    <row r="2143">
      <c r="C2143" s="7" t="n"/>
      <c r="D2143" s="7" t="n"/>
      <c r="H2143" s="47" t="n"/>
    </row>
    <row r="2144">
      <c r="C2144" s="7" t="n"/>
      <c r="D2144" s="7" t="n"/>
      <c r="H2144" s="47" t="n"/>
    </row>
    <row r="2145">
      <c r="C2145" s="7" t="n"/>
      <c r="D2145" s="7" t="n"/>
      <c r="H2145" s="47" t="n"/>
    </row>
    <row r="2146">
      <c r="C2146" s="7" t="n"/>
      <c r="D2146" s="7" t="n"/>
      <c r="H2146" s="47" t="n"/>
    </row>
    <row r="2147">
      <c r="C2147" s="7" t="n"/>
      <c r="D2147" s="7" t="n"/>
      <c r="H2147" s="47" t="n"/>
    </row>
    <row r="2148">
      <c r="C2148" s="7" t="n"/>
      <c r="D2148" s="7" t="n"/>
      <c r="H2148" s="47" t="n"/>
    </row>
    <row r="2149">
      <c r="C2149" s="7" t="n"/>
      <c r="D2149" s="7" t="n"/>
      <c r="H2149" s="47" t="n"/>
    </row>
    <row r="2150">
      <c r="C2150" s="7" t="n"/>
      <c r="D2150" s="7" t="n"/>
      <c r="H2150" s="47" t="n"/>
    </row>
    <row r="2151">
      <c r="C2151" s="7" t="n"/>
      <c r="D2151" s="7" t="n"/>
      <c r="H2151" s="47" t="n"/>
    </row>
    <row r="2152">
      <c r="C2152" s="7" t="n"/>
      <c r="D2152" s="7" t="n"/>
      <c r="H2152" s="47" t="n"/>
    </row>
    <row r="2153">
      <c r="C2153" s="7" t="n"/>
      <c r="D2153" s="7" t="n"/>
      <c r="H2153" s="47" t="n"/>
    </row>
    <row r="2154">
      <c r="C2154" s="7" t="n"/>
      <c r="D2154" s="7" t="n"/>
      <c r="H2154" s="47" t="n"/>
    </row>
    <row r="2155">
      <c r="C2155" s="7" t="n"/>
      <c r="D2155" s="7" t="n"/>
      <c r="H2155" s="47" t="n"/>
    </row>
    <row r="2156">
      <c r="C2156" s="7" t="n"/>
      <c r="D2156" s="7" t="n"/>
      <c r="H2156" s="47" t="n"/>
    </row>
    <row r="2157">
      <c r="C2157" s="7" t="n"/>
      <c r="D2157" s="7" t="n"/>
      <c r="H2157" s="47" t="n"/>
    </row>
    <row r="2158">
      <c r="C2158" s="7" t="n"/>
      <c r="D2158" s="7" t="n"/>
      <c r="H2158" s="47" t="n"/>
    </row>
    <row r="2159">
      <c r="C2159" s="7" t="n"/>
      <c r="D2159" s="7" t="n"/>
      <c r="H2159" s="47" t="n"/>
    </row>
    <row r="2160">
      <c r="C2160" s="7" t="n"/>
      <c r="D2160" s="7" t="n"/>
      <c r="H2160" s="47" t="n"/>
    </row>
    <row r="2161">
      <c r="C2161" s="7" t="n"/>
      <c r="D2161" s="7" t="n"/>
      <c r="H2161" s="47" t="n"/>
    </row>
    <row r="2162">
      <c r="C2162" s="7" t="n"/>
      <c r="D2162" s="7" t="n"/>
      <c r="H2162" s="47" t="n"/>
    </row>
    <row r="2163">
      <c r="C2163" s="7" t="n"/>
      <c r="D2163" s="7" t="n"/>
      <c r="H2163" s="47" t="n"/>
    </row>
    <row r="2164">
      <c r="C2164" s="7" t="n"/>
      <c r="D2164" s="7" t="n"/>
      <c r="H2164" s="47" t="n"/>
    </row>
    <row r="2165">
      <c r="C2165" s="7" t="n"/>
      <c r="D2165" s="7" t="n"/>
      <c r="H2165" s="47" t="n"/>
    </row>
    <row r="2166">
      <c r="C2166" s="7" t="n"/>
      <c r="D2166" s="7" t="n"/>
      <c r="H2166" s="47" t="n"/>
    </row>
    <row r="2167">
      <c r="C2167" s="7" t="n"/>
      <c r="D2167" s="7" t="n"/>
      <c r="H2167" s="47" t="n"/>
    </row>
    <row r="2168">
      <c r="C2168" s="7" t="n"/>
      <c r="D2168" s="7" t="n"/>
      <c r="H2168" s="47" t="n"/>
    </row>
    <row r="2169">
      <c r="C2169" s="7" t="n"/>
      <c r="D2169" s="7" t="n"/>
      <c r="H2169" s="47" t="n"/>
    </row>
    <row r="2170">
      <c r="C2170" s="7" t="n"/>
      <c r="D2170" s="7" t="n"/>
      <c r="H2170" s="47" t="n"/>
    </row>
    <row r="2171">
      <c r="C2171" s="7" t="n"/>
      <c r="D2171" s="7" t="n"/>
      <c r="H2171" s="47" t="n"/>
    </row>
    <row r="2172">
      <c r="C2172" s="7" t="n"/>
      <c r="D2172" s="7" t="n"/>
      <c r="H2172" s="47" t="n"/>
    </row>
    <row r="2173">
      <c r="C2173" s="7" t="n"/>
      <c r="D2173" s="7" t="n"/>
      <c r="H2173" s="47" t="n"/>
    </row>
    <row r="2174">
      <c r="C2174" s="7" t="n"/>
      <c r="D2174" s="7" t="n"/>
      <c r="H2174" s="47" t="n"/>
    </row>
    <row r="2175">
      <c r="C2175" s="7" t="n"/>
      <c r="D2175" s="7" t="n"/>
      <c r="H2175" s="4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N166"/>
  <sheetViews>
    <sheetView topLeftCell="A7" workbookViewId="0">
      <selection activeCell="D9" sqref="D9"/>
    </sheetView>
  </sheetViews>
  <sheetFormatPr baseColWidth="8" defaultRowHeight="15"/>
  <cols>
    <col width="23.85546875" bestFit="1" customWidth="1" min="2" max="2"/>
    <col width="16.5703125" bestFit="1" customWidth="1" min="3" max="3"/>
    <col width="23.7109375" customWidth="1" min="4" max="4"/>
    <col width="12.140625" bestFit="1" customWidth="1" min="5" max="5"/>
    <col width="18" customWidth="1" min="6" max="6"/>
    <col width="26.85546875" customWidth="1" min="7" max="7"/>
    <col width="27" customWidth="1" min="8" max="8"/>
    <col width="28.140625" customWidth="1" min="9" max="9"/>
    <col width="24.140625" customWidth="1" min="10" max="10"/>
    <col width="26" customWidth="1" min="11" max="11"/>
    <col width="23.42578125" customWidth="1" min="12" max="12"/>
    <col width="23" customWidth="1" min="13" max="13"/>
    <col width="16.140625" customWidth="1" min="14" max="14"/>
    <col width="116.42578125" bestFit="1" customWidth="1" min="15" max="15"/>
  </cols>
  <sheetData>
    <row r="1">
      <c r="A1" s="72" t="inlineStr">
        <is>
          <t>ID</t>
        </is>
      </c>
      <c r="B1" s="72" t="inlineStr">
        <is>
          <t>Creado por</t>
        </is>
      </c>
      <c r="C1" s="72" t="inlineStr">
        <is>
          <t>Creado</t>
        </is>
      </c>
      <c r="D1" s="72" t="inlineStr">
        <is>
          <t>Area</t>
        </is>
      </c>
      <c r="E1" s="72" t="inlineStr">
        <is>
          <t>Solicitud</t>
        </is>
      </c>
      <c r="F1" s="72" t="inlineStr">
        <is>
          <t>Tipo de Documento</t>
        </is>
      </c>
      <c r="G1" s="72" t="inlineStr">
        <is>
          <t>Cantidad de Documentos</t>
        </is>
      </c>
      <c r="H1" s="72" t="inlineStr">
        <is>
          <t>Cantidad de cajas</t>
        </is>
      </c>
      <c r="I1" s="72" t="inlineStr">
        <is>
          <t>Comentarios</t>
        </is>
      </c>
      <c r="J1" s="72" t="inlineStr">
        <is>
          <t>Estado</t>
        </is>
      </c>
      <c r="K1" s="72" t="inlineStr">
        <is>
          <t>Situación Solicitud</t>
        </is>
      </c>
      <c r="L1" s="72" t="inlineStr">
        <is>
          <t>Condición Aprobación</t>
        </is>
      </c>
      <c r="M1" s="72" t="inlineStr">
        <is>
          <t>Copiar a:</t>
        </is>
      </c>
      <c r="N1" s="72" t="inlineStr">
        <is>
          <t>Título</t>
        </is>
      </c>
    </row>
    <row r="2" ht="57.75" customHeight="1">
      <c r="A2" s="63" t="n"/>
      <c r="B2" s="63" t="n"/>
      <c r="C2" s="64" t="n"/>
      <c r="D2" s="63" t="n"/>
      <c r="E2" s="63" t="n"/>
      <c r="F2" s="63" t="n"/>
      <c r="G2" s="63" t="n"/>
      <c r="H2" s="63" t="n"/>
      <c r="I2" s="15" t="n"/>
      <c r="J2" s="63" t="n"/>
      <c r="K2" s="15" t="n"/>
      <c r="L2" s="63" t="n"/>
      <c r="M2" s="63" t="n"/>
      <c r="N2" s="63" t="n"/>
    </row>
    <row r="3" ht="72.75" customHeight="1">
      <c r="A3" s="59" t="n"/>
      <c r="B3" s="59" t="n"/>
      <c r="C3" s="60" t="n"/>
      <c r="D3" s="59" t="n"/>
      <c r="E3" s="59" t="n"/>
      <c r="F3" s="59" t="n"/>
      <c r="G3" s="59" t="n"/>
      <c r="H3" s="59" t="n"/>
      <c r="I3" s="62" t="n"/>
      <c r="J3" s="59" t="n"/>
      <c r="K3" s="62" t="n"/>
      <c r="L3" s="59" t="n"/>
      <c r="M3" s="59" t="n"/>
      <c r="N3" s="59" t="n"/>
    </row>
    <row r="4" ht="87" customHeight="1">
      <c r="A4" s="63" t="n"/>
      <c r="B4" s="63" t="n"/>
      <c r="C4" s="64" t="n"/>
      <c r="D4" s="63" t="n"/>
      <c r="E4" s="63" t="n"/>
      <c r="F4" s="63" t="n"/>
      <c r="G4" s="63" t="n"/>
      <c r="H4" s="63" t="n"/>
      <c r="I4" s="15" t="n"/>
      <c r="J4" s="63" t="n"/>
      <c r="K4" s="15" t="n"/>
      <c r="L4" s="63" t="n"/>
      <c r="M4" s="63" t="n"/>
      <c r="N4" s="63" t="n"/>
    </row>
    <row r="5" ht="87" customHeight="1">
      <c r="A5" s="59" t="n"/>
      <c r="B5" s="59" t="n"/>
      <c r="C5" s="60" t="n"/>
      <c r="D5" s="59" t="n"/>
      <c r="E5" s="59" t="n"/>
      <c r="F5" s="59" t="n"/>
      <c r="G5" s="59" t="n"/>
      <c r="H5" s="59" t="n"/>
      <c r="I5" s="62" t="n"/>
      <c r="J5" s="59" t="n"/>
      <c r="K5" s="62" t="n"/>
      <c r="L5" s="59" t="n"/>
      <c r="M5" s="59" t="n"/>
      <c r="N5" s="59" t="n"/>
    </row>
    <row r="6" ht="57.75" customHeight="1">
      <c r="A6" s="63" t="n"/>
      <c r="B6" s="63" t="n"/>
      <c r="C6" s="64" t="n"/>
      <c r="D6" s="63" t="n"/>
      <c r="E6" s="63" t="n"/>
      <c r="F6" s="63" t="n"/>
      <c r="G6" s="63" t="n"/>
      <c r="H6" s="63" t="n"/>
      <c r="I6" s="15" t="n"/>
      <c r="J6" s="63" t="n"/>
      <c r="K6" s="15" t="n"/>
      <c r="L6" s="63" t="n"/>
      <c r="M6" s="63" t="n"/>
      <c r="N6" s="63" t="n"/>
    </row>
    <row r="7" ht="72.75" customHeight="1">
      <c r="A7" s="59" t="n"/>
      <c r="B7" s="59" t="n"/>
      <c r="C7" s="60" t="n"/>
      <c r="D7" s="59" t="n"/>
      <c r="E7" s="59" t="n"/>
      <c r="F7" s="59" t="n"/>
      <c r="G7" s="59" t="n"/>
      <c r="H7" s="59" t="n"/>
      <c r="I7" s="62" t="n"/>
      <c r="J7" s="59" t="n"/>
      <c r="K7" s="62" t="n"/>
      <c r="L7" s="59" t="n"/>
      <c r="M7" s="59" t="n"/>
      <c r="N7" s="59" t="n"/>
    </row>
    <row r="8" ht="43.5" customHeight="1">
      <c r="A8" s="63" t="n"/>
      <c r="B8" s="63" t="n"/>
      <c r="C8" s="64" t="n"/>
      <c r="D8" s="63" t="n"/>
      <c r="E8" s="63" t="n"/>
      <c r="F8" s="63" t="n"/>
      <c r="G8" s="63" t="n"/>
      <c r="H8" s="63" t="n"/>
      <c r="I8" s="15" t="n"/>
      <c r="J8" s="63" t="n"/>
      <c r="K8" s="15" t="n"/>
      <c r="L8" s="63" t="n"/>
      <c r="M8" s="63" t="n"/>
      <c r="N8" s="63" t="n"/>
    </row>
    <row r="9" ht="101.25" customHeight="1">
      <c r="A9" s="59" t="n"/>
      <c r="B9" s="59" t="n"/>
      <c r="C9" s="60" t="n"/>
      <c r="D9" s="59" t="n"/>
      <c r="E9" s="59" t="n"/>
      <c r="F9" s="59" t="n"/>
      <c r="G9" s="59" t="n"/>
      <c r="H9" s="59" t="n"/>
      <c r="I9" s="62" t="n"/>
      <c r="J9" s="59" t="n"/>
      <c r="K9" s="62" t="n"/>
      <c r="L9" s="59" t="n"/>
      <c r="M9" s="59" t="n"/>
      <c r="N9" s="59" t="n"/>
    </row>
    <row r="10" ht="87" customHeight="1">
      <c r="A10" s="63" t="n"/>
      <c r="B10" s="63" t="n"/>
      <c r="C10" s="64" t="n"/>
      <c r="D10" s="63" t="n"/>
      <c r="E10" s="63" t="n"/>
      <c r="F10" s="63" t="n"/>
      <c r="G10" s="63" t="n"/>
      <c r="H10" s="63" t="n"/>
      <c r="I10" s="15" t="n"/>
      <c r="J10" s="63" t="n"/>
      <c r="K10" s="15" t="n"/>
      <c r="L10" s="63" t="n"/>
      <c r="M10" s="63" t="n"/>
      <c r="N10" s="63" t="n"/>
    </row>
    <row r="11" ht="72.75" customHeight="1">
      <c r="A11" s="59" t="n"/>
      <c r="B11" s="59" t="n"/>
      <c r="C11" s="60" t="n"/>
      <c r="D11" s="59" t="n"/>
      <c r="E11" s="59" t="n"/>
      <c r="F11" s="59" t="n"/>
      <c r="G11" s="59" t="n"/>
      <c r="H11" s="59" t="n"/>
      <c r="I11" s="62" t="n"/>
      <c r="J11" s="59" t="n"/>
      <c r="K11" s="62" t="n"/>
      <c r="L11" s="59" t="n"/>
      <c r="M11" s="59" t="n"/>
      <c r="N11" s="59" t="n"/>
    </row>
    <row r="12" ht="72.75" customHeight="1">
      <c r="A12" s="63" t="n"/>
      <c r="B12" s="63" t="n"/>
      <c r="C12" s="64" t="n"/>
      <c r="D12" s="63" t="n"/>
      <c r="E12" s="63" t="n"/>
      <c r="F12" s="63" t="n"/>
      <c r="G12" s="63" t="n"/>
      <c r="H12" s="63" t="n"/>
      <c r="I12" s="15" t="n"/>
      <c r="J12" s="63" t="n"/>
      <c r="K12" s="15" t="n"/>
      <c r="L12" s="63" t="n"/>
      <c r="M12" s="63" t="n"/>
      <c r="N12" s="63" t="n"/>
    </row>
    <row r="13" ht="87" customHeight="1">
      <c r="A13" s="59" t="n"/>
      <c r="B13" s="59" t="n"/>
      <c r="C13" s="60" t="n"/>
      <c r="D13" s="59" t="n"/>
      <c r="E13" s="59" t="n"/>
      <c r="F13" s="59" t="n"/>
      <c r="G13" s="59" t="n"/>
      <c r="H13" s="59" t="n"/>
      <c r="I13" s="62" t="n"/>
      <c r="J13" s="59" t="n"/>
      <c r="K13" s="62" t="n"/>
      <c r="L13" s="59" t="n"/>
      <c r="M13" s="59" t="n"/>
      <c r="N13" s="59" t="n"/>
    </row>
    <row r="14" ht="57.75" customHeight="1">
      <c r="A14" s="63" t="n"/>
      <c r="B14" s="63" t="n"/>
      <c r="C14" s="64" t="n"/>
      <c r="D14" s="63" t="n"/>
      <c r="E14" s="63" t="n"/>
      <c r="F14" s="63" t="n"/>
      <c r="G14" s="63" t="n"/>
      <c r="H14" s="63" t="n"/>
      <c r="I14" s="15" t="n"/>
      <c r="J14" s="63" t="n"/>
      <c r="K14" s="15" t="n"/>
      <c r="L14" s="63" t="n"/>
      <c r="M14" s="63" t="n"/>
      <c r="N14" s="63" t="n"/>
    </row>
    <row r="15" ht="87" customHeight="1">
      <c r="A15" s="59" t="n"/>
      <c r="B15" s="59" t="n"/>
      <c r="C15" s="60" t="n"/>
      <c r="D15" s="59" t="n"/>
      <c r="E15" s="59" t="n"/>
      <c r="F15" s="59" t="n"/>
      <c r="G15" s="59" t="n"/>
      <c r="H15" s="59" t="n"/>
      <c r="I15" s="62" t="n"/>
      <c r="J15" s="59" t="n"/>
      <c r="K15" s="62" t="n"/>
      <c r="L15" s="59" t="n"/>
      <c r="M15" s="59" t="n"/>
      <c r="N15" s="59" t="n"/>
    </row>
    <row r="16" ht="57.75" customHeight="1">
      <c r="A16" s="63" t="n"/>
      <c r="B16" s="63" t="n"/>
      <c r="C16" s="64" t="n"/>
      <c r="D16" s="63" t="n"/>
      <c r="E16" s="63" t="n"/>
      <c r="F16" s="63" t="n"/>
      <c r="G16" s="63" t="n"/>
      <c r="H16" s="63" t="n"/>
      <c r="I16" s="15" t="n"/>
      <c r="J16" s="63" t="n"/>
      <c r="K16" s="15" t="n"/>
      <c r="L16" s="63" t="n"/>
      <c r="M16" s="63" t="n"/>
      <c r="N16" s="63" t="n"/>
    </row>
    <row r="17" ht="57.75" customHeight="1">
      <c r="A17" s="59" t="n"/>
      <c r="B17" s="59" t="n"/>
      <c r="C17" s="60" t="n"/>
      <c r="D17" s="59" t="n"/>
      <c r="E17" s="59" t="n"/>
      <c r="F17" s="59" t="n"/>
      <c r="G17" s="59" t="n"/>
      <c r="H17" s="59" t="n"/>
      <c r="I17" s="62" t="n"/>
      <c r="J17" s="59" t="n"/>
      <c r="K17" s="62" t="n"/>
      <c r="L17" s="59" t="n"/>
      <c r="M17" s="59" t="n"/>
      <c r="N17" s="59" t="n"/>
    </row>
    <row r="18" ht="43.5" customHeight="1">
      <c r="A18" s="63" t="n"/>
      <c r="B18" s="63" t="n"/>
      <c r="C18" s="64" t="n"/>
      <c r="D18" s="63" t="n"/>
      <c r="E18" s="63" t="n"/>
      <c r="F18" s="63" t="n"/>
      <c r="G18" s="63" t="n"/>
      <c r="H18" s="63" t="n"/>
      <c r="I18" s="15" t="n"/>
      <c r="J18" s="63" t="n"/>
      <c r="K18" s="15" t="n"/>
      <c r="L18" s="63" t="n"/>
      <c r="M18" s="63" t="n"/>
      <c r="N18" s="63" t="n"/>
    </row>
    <row r="19" ht="72.75" customHeight="1">
      <c r="A19" s="59" t="n"/>
      <c r="B19" s="59" t="n"/>
      <c r="C19" s="60" t="n"/>
      <c r="D19" s="59" t="n"/>
      <c r="E19" s="59" t="n"/>
      <c r="F19" s="59" t="n"/>
      <c r="G19" s="59" t="n"/>
      <c r="H19" s="59" t="n"/>
      <c r="I19" s="62" t="n"/>
      <c r="J19" s="59" t="n"/>
      <c r="K19" s="62" t="n"/>
      <c r="L19" s="59" t="n"/>
      <c r="M19" s="59" t="n"/>
      <c r="N19" s="59" t="n"/>
    </row>
    <row r="20" ht="43.5" customHeight="1">
      <c r="A20" s="63" t="n"/>
      <c r="B20" s="63" t="n"/>
      <c r="C20" s="64" t="n"/>
      <c r="D20" s="63" t="n"/>
      <c r="E20" s="63" t="n"/>
      <c r="F20" s="63" t="n"/>
      <c r="G20" s="63" t="n"/>
      <c r="H20" s="63" t="n"/>
      <c r="I20" s="15" t="n"/>
      <c r="J20" s="63" t="n"/>
      <c r="K20" s="15" t="n"/>
      <c r="L20" s="63" t="n"/>
      <c r="M20" s="63" t="n"/>
      <c r="N20" s="63" t="n"/>
    </row>
    <row r="21" ht="57.75" customHeight="1">
      <c r="A21" s="59" t="n"/>
      <c r="B21" s="59" t="n"/>
      <c r="C21" s="60" t="n"/>
      <c r="D21" s="59" t="n"/>
      <c r="E21" s="59" t="n"/>
      <c r="F21" s="59" t="n"/>
      <c r="G21" s="59" t="n"/>
      <c r="H21" s="59" t="n"/>
      <c r="I21" s="62" t="n"/>
      <c r="J21" s="59" t="n"/>
      <c r="K21" s="62" t="n"/>
      <c r="L21" s="59" t="n"/>
      <c r="M21" s="59" t="n"/>
      <c r="N21" s="59" t="n"/>
    </row>
    <row r="22" ht="87" customHeight="1">
      <c r="A22" s="63" t="n"/>
      <c r="B22" s="63" t="n"/>
      <c r="C22" s="64" t="n"/>
      <c r="D22" s="63" t="n"/>
      <c r="E22" s="63" t="n"/>
      <c r="F22" s="63" t="n"/>
      <c r="G22" s="63" t="n"/>
      <c r="H22" s="63" t="n"/>
      <c r="I22" s="15" t="n"/>
      <c r="J22" s="63" t="n"/>
      <c r="K22" s="15" t="n"/>
      <c r="L22" s="63" t="n"/>
      <c r="M22" s="63" t="n"/>
      <c r="N22" s="63" t="n"/>
    </row>
    <row r="23" ht="57.75" customHeight="1">
      <c r="A23" s="59" t="n"/>
      <c r="B23" s="59" t="n"/>
      <c r="C23" s="60" t="n"/>
      <c r="D23" s="59" t="n"/>
      <c r="E23" s="59" t="n"/>
      <c r="F23" s="59" t="n"/>
      <c r="G23" s="59" t="n"/>
      <c r="H23" s="59" t="n"/>
      <c r="I23" s="62" t="n"/>
      <c r="J23" s="59" t="n"/>
      <c r="K23" s="62" t="n"/>
      <c r="L23" s="59" t="n"/>
      <c r="M23" s="59" t="n"/>
      <c r="N23" s="59" t="n"/>
    </row>
    <row r="24" ht="57.75" customHeight="1">
      <c r="A24" s="63" t="n"/>
      <c r="B24" s="63" t="n"/>
      <c r="C24" s="64" t="n"/>
      <c r="D24" s="63" t="n"/>
      <c r="E24" s="63" t="n"/>
      <c r="F24" s="63" t="n"/>
      <c r="G24" s="63" t="n"/>
      <c r="H24" s="63" t="n"/>
      <c r="I24" s="15" t="n"/>
      <c r="J24" s="63" t="n"/>
      <c r="K24" s="15" t="n"/>
      <c r="L24" s="63" t="n"/>
      <c r="M24" s="63" t="n"/>
      <c r="N24" s="63" t="n"/>
    </row>
    <row r="25" ht="72.75" customHeight="1">
      <c r="A25" s="59" t="n"/>
      <c r="B25" s="59" t="n"/>
      <c r="C25" s="60" t="n"/>
      <c r="D25" s="59" t="n"/>
      <c r="E25" s="59" t="n"/>
      <c r="F25" s="59" t="n"/>
      <c r="G25" s="59" t="n"/>
      <c r="H25" s="59" t="n"/>
      <c r="I25" s="62" t="n"/>
      <c r="J25" s="59" t="n"/>
      <c r="K25" s="62" t="n"/>
      <c r="L25" s="59" t="n"/>
      <c r="M25" s="59" t="n"/>
      <c r="N25" s="59" t="n"/>
    </row>
    <row r="26">
      <c r="A26" s="63" t="n"/>
      <c r="B26" s="63" t="n"/>
      <c r="C26" s="64" t="n"/>
      <c r="D26" s="63" t="n"/>
      <c r="E26" s="63" t="n"/>
      <c r="F26" s="63" t="n"/>
      <c r="G26" s="63" t="n"/>
      <c r="H26" s="63" t="n"/>
      <c r="I26" s="15" t="n"/>
      <c r="J26" s="63" t="n"/>
      <c r="K26" s="15" t="n"/>
      <c r="L26" s="63" t="n"/>
      <c r="M26" s="63" t="n"/>
      <c r="N26" s="63" t="n"/>
    </row>
    <row r="27" ht="72.75" customHeight="1">
      <c r="A27" s="59" t="n"/>
      <c r="B27" s="59" t="n"/>
      <c r="C27" s="60" t="n"/>
      <c r="D27" s="59" t="n"/>
      <c r="E27" s="59" t="n"/>
      <c r="F27" s="59" t="n"/>
      <c r="G27" s="59" t="n"/>
      <c r="H27" s="59" t="n"/>
      <c r="I27" s="62" t="n"/>
      <c r="J27" s="59" t="n"/>
      <c r="K27" s="62" t="n"/>
      <c r="L27" s="59" t="n"/>
      <c r="M27" s="59" t="n"/>
      <c r="N27" s="59" t="n"/>
    </row>
    <row r="28" ht="101.25" customHeight="1">
      <c r="A28" s="63" t="n"/>
      <c r="B28" s="63" t="n"/>
      <c r="C28" s="64" t="n"/>
      <c r="D28" s="63" t="n"/>
      <c r="E28" s="63" t="n"/>
      <c r="F28" s="63" t="n"/>
      <c r="G28" s="63" t="n"/>
      <c r="H28" s="63" t="n"/>
      <c r="I28" s="15" t="n"/>
      <c r="J28" s="63" t="n"/>
      <c r="K28" s="15" t="n"/>
      <c r="L28" s="63" t="n"/>
      <c r="M28" s="63" t="n"/>
      <c r="N28" s="63" t="n"/>
    </row>
    <row r="29" ht="72.75" customHeight="1">
      <c r="A29" s="59" t="n"/>
      <c r="B29" s="59" t="n"/>
      <c r="C29" s="60" t="n"/>
      <c r="D29" s="59" t="n"/>
      <c r="E29" s="59" t="n"/>
      <c r="F29" s="59" t="n"/>
      <c r="G29" s="59" t="n"/>
      <c r="H29" s="59" t="n"/>
      <c r="I29" s="62" t="n"/>
      <c r="J29" s="59" t="n"/>
      <c r="K29" s="62" t="n"/>
      <c r="L29" s="59" t="n"/>
      <c r="M29" s="59" t="n"/>
      <c r="N29" s="59" t="n"/>
    </row>
    <row r="30" ht="72.75" customHeight="1">
      <c r="A30" s="63" t="n"/>
      <c r="B30" s="63" t="n"/>
      <c r="C30" s="64" t="n"/>
      <c r="D30" s="63" t="n"/>
      <c r="E30" s="63" t="n"/>
      <c r="F30" s="63" t="n"/>
      <c r="G30" s="63" t="n"/>
      <c r="H30" s="63" t="n"/>
      <c r="I30" s="15" t="n"/>
      <c r="J30" s="63" t="n"/>
      <c r="K30" s="15" t="n"/>
      <c r="L30" s="63" t="n"/>
      <c r="M30" s="63" t="n"/>
      <c r="N30" s="63" t="n"/>
    </row>
    <row r="31" ht="72.75" customHeight="1">
      <c r="A31" s="59" t="n"/>
      <c r="B31" s="59" t="n"/>
      <c r="C31" s="60" t="n"/>
      <c r="D31" s="59" t="n"/>
      <c r="E31" s="59" t="n"/>
      <c r="F31" s="59" t="n"/>
      <c r="G31" s="59" t="n"/>
      <c r="H31" s="59" t="n"/>
      <c r="I31" s="62" t="n"/>
      <c r="J31" s="59" t="n"/>
      <c r="K31" s="62" t="n"/>
      <c r="L31" s="59" t="n"/>
      <c r="M31" s="59" t="n"/>
      <c r="N31" s="59" t="n"/>
    </row>
    <row r="32" ht="57.75" customHeight="1">
      <c r="A32" s="63" t="n"/>
      <c r="B32" s="63" t="n"/>
      <c r="C32" s="64" t="n"/>
      <c r="D32" s="63" t="n"/>
      <c r="E32" s="63" t="n"/>
      <c r="F32" s="63" t="n"/>
      <c r="G32" s="63" t="n"/>
      <c r="H32" s="63" t="n"/>
      <c r="I32" s="15" t="n"/>
      <c r="J32" s="63" t="n"/>
      <c r="K32" s="15" t="n"/>
      <c r="L32" s="63" t="n"/>
      <c r="M32" s="63" t="n"/>
      <c r="N32" s="63" t="n"/>
    </row>
    <row r="33" ht="29.25" customHeight="1">
      <c r="A33" s="59" t="n"/>
      <c r="B33" s="59" t="n"/>
      <c r="C33" s="60" t="n"/>
      <c r="D33" s="59" t="n"/>
      <c r="E33" s="59" t="n"/>
      <c r="F33" s="59" t="n"/>
      <c r="G33" s="59" t="n"/>
      <c r="H33" s="59" t="n"/>
      <c r="I33" s="62" t="n"/>
      <c r="J33" s="59" t="n"/>
      <c r="K33" s="62" t="n"/>
      <c r="L33" s="59" t="n"/>
      <c r="M33" s="59" t="n"/>
      <c r="N33" s="59" t="n"/>
    </row>
    <row r="34" ht="29.25" customHeight="1">
      <c r="A34" s="63" t="n"/>
      <c r="B34" s="63" t="n"/>
      <c r="C34" s="64" t="n"/>
      <c r="D34" s="63" t="n"/>
      <c r="E34" s="63" t="n"/>
      <c r="F34" s="63" t="n"/>
      <c r="G34" s="63" t="n"/>
      <c r="H34" s="63" t="n"/>
      <c r="I34" s="15" t="n"/>
      <c r="J34" s="63" t="n"/>
      <c r="K34" s="15" t="n"/>
      <c r="L34" s="63" t="n"/>
      <c r="M34" s="63" t="n"/>
      <c r="N34" s="63" t="n"/>
    </row>
    <row r="35" ht="72.75" customHeight="1">
      <c r="A35" s="59" t="n"/>
      <c r="B35" s="59" t="n"/>
      <c r="C35" s="60" t="n"/>
      <c r="D35" s="59" t="n"/>
      <c r="E35" s="59" t="n"/>
      <c r="F35" s="59" t="n"/>
      <c r="G35" s="59" t="n"/>
      <c r="H35" s="59" t="n"/>
      <c r="I35" s="62" t="n"/>
      <c r="J35" s="59" t="n"/>
      <c r="K35" s="62" t="n"/>
      <c r="L35" s="59" t="n"/>
      <c r="M35" s="59" t="n"/>
      <c r="N35" s="59" t="n"/>
    </row>
    <row r="36" ht="87" customHeight="1">
      <c r="A36" s="63" t="n"/>
      <c r="B36" s="63" t="n"/>
      <c r="C36" s="64" t="n"/>
      <c r="D36" s="63" t="n"/>
      <c r="E36" s="63" t="n"/>
      <c r="F36" s="63" t="n"/>
      <c r="G36" s="63" t="n"/>
      <c r="H36" s="63" t="n"/>
      <c r="I36" s="15" t="n"/>
      <c r="J36" s="63" t="n"/>
      <c r="K36" s="15" t="n"/>
      <c r="L36" s="63" t="n"/>
      <c r="M36" s="63" t="n"/>
      <c r="N36" s="63" t="n"/>
    </row>
    <row r="37" ht="87" customHeight="1">
      <c r="A37" s="59" t="n"/>
      <c r="B37" s="59" t="n"/>
      <c r="C37" s="60" t="n"/>
      <c r="D37" s="59" t="n"/>
      <c r="E37" s="59" t="n"/>
      <c r="F37" s="59" t="n"/>
      <c r="G37" s="59" t="n"/>
      <c r="H37" s="59" t="n"/>
      <c r="I37" s="62" t="n"/>
      <c r="J37" s="59" t="n"/>
      <c r="K37" s="62" t="n"/>
      <c r="L37" s="59" t="n"/>
      <c r="M37" s="59" t="n"/>
      <c r="N37" s="59" t="n"/>
    </row>
    <row r="38">
      <c r="A38" s="63" t="n"/>
      <c r="B38" s="63" t="n"/>
      <c r="C38" s="64" t="n"/>
      <c r="D38" s="63" t="n"/>
      <c r="E38" s="63" t="n"/>
      <c r="F38" s="63" t="n"/>
      <c r="G38" s="63" t="n"/>
      <c r="H38" s="63" t="n"/>
      <c r="I38" s="15" t="n"/>
      <c r="J38" s="63" t="n"/>
      <c r="K38" s="15" t="n"/>
      <c r="L38" s="63" t="n"/>
      <c r="M38" s="63" t="n"/>
      <c r="N38" s="63" t="n"/>
    </row>
    <row r="39" ht="101.25" customHeight="1">
      <c r="A39" s="59" t="n"/>
      <c r="B39" s="59" t="n"/>
      <c r="C39" s="60" t="n"/>
      <c r="D39" s="59" t="n"/>
      <c r="E39" s="59" t="n"/>
      <c r="F39" s="59" t="n"/>
      <c r="G39" s="59" t="n"/>
      <c r="H39" s="59" t="n"/>
      <c r="I39" s="62" t="n"/>
      <c r="J39" s="59" t="n"/>
      <c r="K39" s="62" t="n"/>
      <c r="L39" s="59" t="n"/>
      <c r="M39" s="59" t="n"/>
      <c r="N39" s="59" t="n"/>
    </row>
    <row r="40" ht="72.75" customHeight="1">
      <c r="A40" s="63" t="n"/>
      <c r="B40" s="63" t="n"/>
      <c r="C40" s="64" t="n"/>
      <c r="D40" s="63" t="n"/>
      <c r="E40" s="63" t="n"/>
      <c r="F40" s="63" t="n"/>
      <c r="G40" s="63" t="n"/>
      <c r="H40" s="63" t="n"/>
      <c r="I40" s="15" t="n"/>
      <c r="J40" s="63" t="n"/>
      <c r="K40" s="15" t="n"/>
      <c r="L40" s="63" t="n"/>
      <c r="M40" s="63" t="n"/>
      <c r="N40" s="63" t="n"/>
    </row>
    <row r="41" ht="43.5" customHeight="1">
      <c r="A41" s="59" t="n"/>
      <c r="B41" s="59" t="n"/>
      <c r="C41" s="60" t="n"/>
      <c r="D41" s="59" t="n"/>
      <c r="E41" s="59" t="n"/>
      <c r="F41" s="59" t="n"/>
      <c r="G41" s="59" t="n"/>
      <c r="H41" s="59" t="n"/>
      <c r="I41" s="62" t="n"/>
      <c r="J41" s="59" t="n"/>
      <c r="K41" s="62" t="n"/>
      <c r="L41" s="59" t="n"/>
      <c r="M41" s="59" t="n"/>
      <c r="N41" s="59" t="n"/>
    </row>
    <row r="42" ht="72.75" customHeight="1">
      <c r="A42" s="63" t="n"/>
      <c r="B42" s="63" t="n"/>
      <c r="C42" s="64" t="n"/>
      <c r="D42" s="63" t="n"/>
      <c r="E42" s="63" t="n"/>
      <c r="F42" s="63" t="n"/>
      <c r="G42" s="63" t="n"/>
      <c r="H42" s="63" t="n"/>
      <c r="I42" s="15" t="n"/>
      <c r="J42" s="63" t="n"/>
      <c r="K42" s="15" t="n"/>
      <c r="L42" s="63" t="n"/>
      <c r="M42" s="63" t="n"/>
      <c r="N42" s="63" t="n"/>
    </row>
    <row r="43" ht="87" customHeight="1">
      <c r="A43" s="59" t="n"/>
      <c r="B43" s="59" t="n"/>
      <c r="C43" s="60" t="n"/>
      <c r="D43" s="59" t="n"/>
      <c r="E43" s="59" t="n"/>
      <c r="F43" s="59" t="n"/>
      <c r="G43" s="59" t="n"/>
      <c r="H43" s="59" t="n"/>
      <c r="I43" s="62" t="n"/>
      <c r="J43" s="59" t="n"/>
      <c r="K43" s="62" t="n"/>
      <c r="L43" s="59" t="n"/>
      <c r="M43" s="59" t="n"/>
      <c r="N43" s="59" t="n"/>
    </row>
    <row r="44" ht="87" customHeight="1">
      <c r="A44" s="63" t="n"/>
      <c r="B44" s="63" t="n"/>
      <c r="C44" s="64" t="n"/>
      <c r="D44" s="63" t="n"/>
      <c r="E44" s="63" t="n"/>
      <c r="F44" s="63" t="n"/>
      <c r="G44" s="63" t="n"/>
      <c r="H44" s="63" t="n"/>
      <c r="I44" s="15" t="n"/>
      <c r="J44" s="63" t="n"/>
      <c r="K44" s="15" t="n"/>
      <c r="L44" s="63" t="n"/>
      <c r="M44" s="63" t="n"/>
      <c r="N44" s="63" t="n"/>
    </row>
    <row r="45" ht="72.75" customHeight="1">
      <c r="A45" s="59" t="n"/>
      <c r="B45" s="59" t="n"/>
      <c r="C45" s="60" t="n"/>
      <c r="D45" s="59" t="n"/>
      <c r="E45" s="59" t="n"/>
      <c r="F45" s="59" t="n"/>
      <c r="G45" s="59" t="n"/>
      <c r="H45" s="59" t="n"/>
      <c r="I45" s="62" t="n"/>
      <c r="J45" s="59" t="n"/>
      <c r="K45" s="62" t="n"/>
      <c r="L45" s="59" t="n"/>
      <c r="M45" s="59" t="n"/>
      <c r="N45" s="59" t="n"/>
    </row>
    <row r="46" ht="159" customHeight="1">
      <c r="A46" s="63" t="n"/>
      <c r="B46" s="63" t="n"/>
      <c r="C46" s="64" t="n"/>
      <c r="D46" s="63" t="n"/>
      <c r="E46" s="63" t="n"/>
      <c r="F46" s="63" t="n"/>
      <c r="G46" s="63" t="n"/>
      <c r="H46" s="63" t="n"/>
      <c r="I46" s="15" t="n"/>
      <c r="J46" s="63" t="n"/>
      <c r="K46" s="15" t="n"/>
      <c r="L46" s="63" t="n"/>
      <c r="M46" s="63" t="n"/>
      <c r="N46" s="63" t="n"/>
    </row>
    <row r="47" ht="72.75" customHeight="1">
      <c r="A47" s="59" t="n"/>
      <c r="B47" s="59" t="n"/>
      <c r="C47" s="60" t="n"/>
      <c r="D47" s="59" t="n"/>
      <c r="E47" s="59" t="n"/>
      <c r="F47" s="59" t="n"/>
      <c r="G47" s="59" t="n"/>
      <c r="H47" s="59" t="n"/>
      <c r="I47" s="62" t="n"/>
      <c r="J47" s="59" t="n"/>
      <c r="K47" s="62" t="n"/>
      <c r="L47" s="59" t="n"/>
      <c r="M47" s="59" t="n"/>
      <c r="N47" s="59" t="n"/>
    </row>
    <row r="48" ht="144.75" customHeight="1">
      <c r="A48" s="63" t="n"/>
      <c r="B48" s="63" t="n"/>
      <c r="C48" s="64" t="n"/>
      <c r="D48" s="63" t="n"/>
      <c r="E48" s="63" t="n"/>
      <c r="F48" s="63" t="n"/>
      <c r="G48" s="63" t="n"/>
      <c r="H48" s="63" t="n"/>
      <c r="I48" s="15" t="n"/>
      <c r="J48" s="63" t="n"/>
      <c r="K48" s="15" t="n"/>
      <c r="L48" s="63" t="n"/>
      <c r="M48" s="63" t="n"/>
      <c r="N48" s="63" t="n"/>
    </row>
    <row r="49" ht="101.25" customHeight="1">
      <c r="A49" s="59" t="n"/>
      <c r="B49" s="59" t="n"/>
      <c r="C49" s="60" t="n"/>
      <c r="D49" s="59" t="n"/>
      <c r="E49" s="59" t="n"/>
      <c r="F49" s="59" t="n"/>
      <c r="G49" s="59" t="n"/>
      <c r="H49" s="59" t="n"/>
      <c r="I49" s="62" t="n"/>
      <c r="J49" s="59" t="n"/>
      <c r="K49" s="62" t="n"/>
      <c r="L49" s="59" t="n"/>
      <c r="M49" s="59" t="n"/>
      <c r="N49" s="59" t="n"/>
    </row>
    <row r="50" ht="87" customHeight="1">
      <c r="A50" s="63" t="n"/>
      <c r="B50" s="63" t="n"/>
      <c r="C50" s="64" t="n"/>
      <c r="D50" s="63" t="n"/>
      <c r="E50" s="63" t="n"/>
      <c r="F50" s="63" t="n"/>
      <c r="G50" s="63" t="n"/>
      <c r="H50" s="63" t="n"/>
      <c r="I50" s="15" t="n"/>
      <c r="J50" s="63" t="n"/>
      <c r="K50" s="15" t="n"/>
      <c r="L50" s="63" t="n"/>
      <c r="M50" s="63" t="n"/>
      <c r="N50" s="63" t="n"/>
    </row>
    <row r="51" ht="57.75" customHeight="1">
      <c r="A51" s="59" t="n"/>
      <c r="B51" s="59" t="n"/>
      <c r="C51" s="60" t="n"/>
      <c r="D51" s="59" t="n"/>
      <c r="E51" s="59" t="n"/>
      <c r="F51" s="59" t="n"/>
      <c r="G51" s="59" t="n"/>
      <c r="H51" s="59" t="n"/>
      <c r="I51" s="62" t="n"/>
      <c r="J51" s="59" t="n"/>
      <c r="K51" s="62" t="n"/>
      <c r="L51" s="59" t="n"/>
      <c r="M51" s="59" t="n"/>
      <c r="N51" s="59" t="n"/>
    </row>
    <row r="52" ht="130.5" customHeight="1">
      <c r="A52" s="63" t="n"/>
      <c r="B52" s="63" t="n"/>
      <c r="C52" s="64" t="n"/>
      <c r="D52" s="63" t="n"/>
      <c r="E52" s="63" t="n"/>
      <c r="F52" s="63" t="n"/>
      <c r="G52" s="63" t="n"/>
      <c r="H52" s="63" t="n"/>
      <c r="I52" s="15" t="n"/>
      <c r="J52" s="63" t="n"/>
      <c r="K52" s="15" t="n"/>
      <c r="L52" s="63" t="n"/>
      <c r="M52" s="63" t="n"/>
      <c r="N52" s="63" t="n"/>
    </row>
    <row r="53" ht="87" customHeight="1">
      <c r="A53" s="59" t="n"/>
      <c r="B53" s="59" t="n"/>
      <c r="C53" s="60" t="n"/>
      <c r="D53" s="59" t="n"/>
      <c r="E53" s="59" t="n"/>
      <c r="F53" s="59" t="n"/>
      <c r="G53" s="59" t="n"/>
      <c r="H53" s="59" t="n"/>
      <c r="I53" s="62" t="n"/>
      <c r="J53" s="59" t="n"/>
      <c r="K53" s="62" t="n"/>
      <c r="L53" s="59" t="n"/>
      <c r="M53" s="59" t="n"/>
      <c r="N53" s="59" t="n"/>
    </row>
    <row r="54" ht="72.75" customHeight="1">
      <c r="A54" s="63" t="n"/>
      <c r="B54" s="63" t="n"/>
      <c r="C54" s="64" t="n"/>
      <c r="D54" s="63" t="n"/>
      <c r="E54" s="63" t="n"/>
      <c r="F54" s="63" t="n"/>
      <c r="G54" s="63" t="n"/>
      <c r="H54" s="63" t="n"/>
      <c r="I54" s="15" t="n"/>
      <c r="J54" s="63" t="n"/>
      <c r="K54" s="15" t="n"/>
      <c r="L54" s="63" t="n"/>
      <c r="M54" s="63" t="n"/>
      <c r="N54" s="63" t="n"/>
    </row>
    <row r="55" ht="72.75" customHeight="1">
      <c r="A55" s="59" t="n"/>
      <c r="B55" s="59" t="n"/>
      <c r="C55" s="60" t="n"/>
      <c r="D55" s="59" t="n"/>
      <c r="E55" s="59" t="n"/>
      <c r="F55" s="59" t="n"/>
      <c r="G55" s="59" t="n"/>
      <c r="H55" s="59" t="n"/>
      <c r="I55" s="62" t="n"/>
      <c r="J55" s="59" t="n"/>
      <c r="K55" s="62" t="n"/>
      <c r="L55" s="59" t="n"/>
      <c r="M55" s="59" t="n"/>
      <c r="N55" s="59" t="n"/>
    </row>
    <row r="56" ht="72.75" customHeight="1">
      <c r="A56" s="63" t="n"/>
      <c r="B56" s="63" t="n"/>
      <c r="C56" s="64" t="n"/>
      <c r="D56" s="63" t="n"/>
      <c r="E56" s="63" t="n"/>
      <c r="F56" s="63" t="n"/>
      <c r="G56" s="63" t="n"/>
      <c r="H56" s="63" t="n"/>
      <c r="I56" s="15" t="n"/>
      <c r="J56" s="63" t="n"/>
      <c r="K56" s="15" t="n"/>
      <c r="L56" s="63" t="n"/>
      <c r="M56" s="63" t="n"/>
      <c r="N56" s="63" t="n"/>
    </row>
    <row r="57" ht="72.75" customHeight="1">
      <c r="A57" s="59" t="n"/>
      <c r="B57" s="59" t="n"/>
      <c r="C57" s="60" t="n"/>
      <c r="D57" s="59" t="n"/>
      <c r="E57" s="59" t="n"/>
      <c r="F57" s="59" t="n"/>
      <c r="G57" s="59" t="n"/>
      <c r="H57" s="59" t="n"/>
      <c r="I57" s="62" t="n"/>
      <c r="J57" s="59" t="n"/>
      <c r="K57" s="62" t="n"/>
      <c r="L57" s="59" t="n"/>
      <c r="M57" s="59" t="n"/>
      <c r="N57" s="59" t="n"/>
    </row>
    <row r="58" ht="101.25" customHeight="1">
      <c r="A58" s="63" t="n"/>
      <c r="B58" s="63" t="n"/>
      <c r="C58" s="64" t="n"/>
      <c r="D58" s="63" t="n"/>
      <c r="E58" s="63" t="n"/>
      <c r="F58" s="63" t="n"/>
      <c r="G58" s="63" t="n"/>
      <c r="H58" s="63" t="n"/>
      <c r="I58" s="15" t="n"/>
      <c r="J58" s="63" t="n"/>
      <c r="K58" s="15" t="n"/>
      <c r="L58" s="63" t="n"/>
      <c r="M58" s="63" t="n"/>
      <c r="N58" s="63" t="n"/>
    </row>
    <row r="59" ht="29.25" customHeight="1">
      <c r="A59" s="59" t="n"/>
      <c r="B59" s="59" t="n"/>
      <c r="C59" s="60" t="n"/>
      <c r="D59" s="59" t="n"/>
      <c r="E59" s="59" t="n"/>
      <c r="F59" s="59" t="n"/>
      <c r="G59" s="59" t="n"/>
      <c r="H59" s="59" t="n"/>
      <c r="I59" s="62" t="n"/>
      <c r="J59" s="59" t="n"/>
      <c r="K59" s="62" t="n"/>
      <c r="L59" s="59" t="n"/>
      <c r="M59" s="59" t="n"/>
      <c r="N59" s="59" t="n"/>
    </row>
    <row r="60" ht="144.75" customHeight="1">
      <c r="A60" s="63" t="n"/>
      <c r="B60" s="63" t="n"/>
      <c r="C60" s="64" t="n"/>
      <c r="D60" s="63" t="n"/>
      <c r="E60" s="63" t="n"/>
      <c r="F60" s="63" t="n"/>
      <c r="G60" s="63" t="n"/>
      <c r="H60" s="63" t="n"/>
      <c r="I60" s="15" t="n"/>
      <c r="J60" s="63" t="n"/>
      <c r="K60" s="15" t="n"/>
      <c r="L60" s="63" t="n"/>
      <c r="M60" s="63" t="n"/>
      <c r="N60" s="63" t="n"/>
    </row>
    <row r="61" ht="130.5" customHeight="1">
      <c r="A61" s="59" t="n"/>
      <c r="B61" s="59" t="n"/>
      <c r="C61" s="60" t="n"/>
      <c r="D61" s="59" t="n"/>
      <c r="E61" s="59" t="n"/>
      <c r="F61" s="59" t="n"/>
      <c r="G61" s="59" t="n"/>
      <c r="H61" s="59" t="n"/>
      <c r="I61" s="62" t="n"/>
      <c r="J61" s="59" t="n"/>
      <c r="K61" s="62" t="n"/>
      <c r="L61" s="59" t="n"/>
      <c r="M61" s="59" t="n"/>
      <c r="N61" s="59" t="n"/>
    </row>
    <row r="62" ht="43.5" customHeight="1">
      <c r="A62" s="63" t="n"/>
      <c r="B62" s="63" t="n"/>
      <c r="C62" s="64" t="n"/>
      <c r="D62" s="63" t="n"/>
      <c r="E62" s="63" t="n"/>
      <c r="F62" s="63" t="n"/>
      <c r="G62" s="63" t="n"/>
      <c r="H62" s="63" t="n"/>
      <c r="I62" s="15" t="n"/>
      <c r="J62" s="63" t="n"/>
      <c r="K62" s="15" t="n"/>
      <c r="L62" s="63" t="n"/>
      <c r="M62" s="63" t="n"/>
      <c r="N62" s="63" t="n"/>
    </row>
    <row r="63">
      <c r="A63" s="59" t="n"/>
      <c r="B63" s="59" t="n"/>
      <c r="C63" s="60" t="n"/>
      <c r="D63" s="59" t="n"/>
      <c r="E63" s="59" t="n"/>
      <c r="F63" s="59" t="n"/>
      <c r="G63" s="59" t="n"/>
      <c r="H63" s="59" t="n"/>
      <c r="I63" s="62" t="n"/>
      <c r="J63" s="59" t="n"/>
      <c r="K63" s="62" t="n"/>
      <c r="L63" s="59" t="n"/>
      <c r="M63" s="59" t="n"/>
      <c r="N63" s="59" t="n"/>
    </row>
    <row r="64">
      <c r="A64" s="63" t="n"/>
      <c r="B64" s="63" t="n"/>
      <c r="C64" s="64" t="n"/>
      <c r="D64" s="63" t="n"/>
      <c r="E64" s="63" t="n"/>
      <c r="F64" s="63" t="n"/>
      <c r="G64" s="63" t="n"/>
      <c r="H64" s="63" t="n"/>
      <c r="I64" s="15" t="n"/>
      <c r="J64" s="63" t="n"/>
      <c r="K64" s="15" t="n"/>
      <c r="L64" s="63" t="n"/>
      <c r="M64" s="63" t="n"/>
      <c r="N64" s="63" t="n"/>
    </row>
    <row r="65" ht="72.75" customHeight="1">
      <c r="A65" s="59" t="n"/>
      <c r="B65" s="59" t="n"/>
      <c r="C65" s="60" t="n"/>
      <c r="D65" s="59" t="n"/>
      <c r="E65" s="59" t="n"/>
      <c r="F65" s="59" t="n"/>
      <c r="G65" s="59" t="n"/>
      <c r="H65" s="59" t="n"/>
      <c r="I65" s="62" t="n"/>
      <c r="J65" s="59" t="n"/>
      <c r="K65" s="62" t="n"/>
      <c r="L65" s="59" t="n"/>
      <c r="M65" s="59" t="n"/>
      <c r="N65" s="59" t="n"/>
    </row>
    <row r="66" ht="29.25" customHeight="1">
      <c r="A66" s="63" t="n"/>
      <c r="B66" s="63" t="n"/>
      <c r="C66" s="64" t="n"/>
      <c r="D66" s="63" t="n"/>
      <c r="E66" s="63" t="n"/>
      <c r="F66" s="63" t="n"/>
      <c r="G66" s="63" t="n"/>
      <c r="H66" s="63" t="n"/>
      <c r="I66" s="15" t="n"/>
      <c r="J66" s="63" t="n"/>
      <c r="K66" s="15" t="n"/>
      <c r="L66" s="63" t="n"/>
      <c r="M66" s="63" t="n"/>
      <c r="N66" s="63" t="n"/>
    </row>
    <row r="67" ht="87" customHeight="1">
      <c r="A67" s="59" t="n"/>
      <c r="B67" s="59" t="n"/>
      <c r="C67" s="60" t="n"/>
      <c r="D67" s="59" t="n"/>
      <c r="E67" s="59" t="n"/>
      <c r="F67" s="59" t="n"/>
      <c r="G67" s="59" t="n"/>
      <c r="H67" s="59" t="n"/>
      <c r="I67" s="62" t="n"/>
      <c r="J67" s="59" t="n"/>
      <c r="K67" s="62" t="n"/>
      <c r="L67" s="59" t="n"/>
      <c r="M67" s="59" t="n"/>
      <c r="N67" s="59" t="n"/>
    </row>
    <row r="68" ht="57.75" customHeight="1">
      <c r="A68" s="63" t="n"/>
      <c r="B68" s="63" t="n"/>
      <c r="C68" s="64" t="n"/>
      <c r="D68" s="63" t="n"/>
      <c r="E68" s="63" t="n"/>
      <c r="F68" s="63" t="n"/>
      <c r="G68" s="63" t="n"/>
      <c r="H68" s="63" t="n"/>
      <c r="I68" s="15" t="n"/>
      <c r="J68" s="63" t="n"/>
      <c r="K68" s="15" t="n"/>
      <c r="L68" s="63" t="n"/>
      <c r="M68" s="63" t="n"/>
      <c r="N68" s="63" t="n"/>
    </row>
    <row r="69" ht="72.75" customHeight="1">
      <c r="A69" s="59" t="n"/>
      <c r="B69" s="59" t="n"/>
      <c r="C69" s="60" t="n"/>
      <c r="D69" s="59" t="n"/>
      <c r="E69" s="59" t="n"/>
      <c r="F69" s="59" t="n"/>
      <c r="G69" s="59" t="n"/>
      <c r="H69" s="59" t="n"/>
      <c r="I69" s="62" t="n"/>
      <c r="J69" s="59" t="n"/>
      <c r="K69" s="62" t="n"/>
      <c r="L69" s="59" t="n"/>
      <c r="M69" s="59" t="n"/>
      <c r="N69" s="59" t="n"/>
    </row>
    <row r="70" ht="72.75" customHeight="1">
      <c r="A70" s="63" t="n"/>
      <c r="B70" s="63" t="n"/>
      <c r="C70" s="64" t="n"/>
      <c r="D70" s="63" t="n"/>
      <c r="E70" s="63" t="n"/>
      <c r="F70" s="63" t="n"/>
      <c r="G70" s="63" t="n"/>
      <c r="H70" s="63" t="n"/>
      <c r="I70" s="15" t="n"/>
      <c r="J70" s="63" t="n"/>
      <c r="K70" s="15" t="n"/>
      <c r="L70" s="63" t="n"/>
      <c r="M70" s="63" t="n"/>
      <c r="N70" s="63" t="n"/>
    </row>
    <row r="71" ht="87" customHeight="1">
      <c r="A71" s="59" t="n"/>
      <c r="B71" s="59" t="n"/>
      <c r="C71" s="60" t="n"/>
      <c r="D71" s="59" t="n"/>
      <c r="E71" s="59" t="n"/>
      <c r="F71" s="59" t="n"/>
      <c r="G71" s="59" t="n"/>
      <c r="H71" s="59" t="n"/>
      <c r="I71" s="62" t="n"/>
      <c r="J71" s="59" t="n"/>
      <c r="K71" s="62" t="n"/>
      <c r="L71" s="59" t="n"/>
      <c r="M71" s="59" t="n"/>
      <c r="N71" s="59" t="n"/>
    </row>
    <row r="72" ht="43.5" customHeight="1">
      <c r="A72" s="63" t="n"/>
      <c r="B72" s="63" t="n"/>
      <c r="C72" s="64" t="n"/>
      <c r="D72" s="63" t="n"/>
      <c r="E72" s="63" t="n"/>
      <c r="F72" s="63" t="n"/>
      <c r="G72" s="63" t="n"/>
      <c r="H72" s="63" t="n"/>
      <c r="I72" s="15" t="n"/>
      <c r="J72" s="63" t="n"/>
      <c r="K72" s="15" t="n"/>
      <c r="L72" s="63" t="n"/>
      <c r="M72" s="63" t="n"/>
      <c r="N72" s="63" t="n"/>
    </row>
    <row r="73" ht="101.25" customHeight="1">
      <c r="A73" s="59" t="n"/>
      <c r="B73" s="59" t="n"/>
      <c r="C73" s="60" t="n"/>
      <c r="D73" s="59" t="n"/>
      <c r="E73" s="59" t="n"/>
      <c r="F73" s="59" t="n"/>
      <c r="G73" s="59" t="n"/>
      <c r="H73" s="59" t="n"/>
      <c r="I73" s="62" t="n"/>
      <c r="J73" s="59" t="n"/>
      <c r="K73" s="62" t="n"/>
      <c r="L73" s="59" t="n"/>
      <c r="M73" s="59" t="n"/>
      <c r="N73" s="59" t="n"/>
    </row>
    <row r="74" ht="57.75" customHeight="1">
      <c r="A74" s="63" t="n"/>
      <c r="B74" s="63" t="n"/>
      <c r="C74" s="64" t="n"/>
      <c r="D74" s="63" t="n"/>
      <c r="E74" s="63" t="n"/>
      <c r="F74" s="63" t="n"/>
      <c r="G74" s="63" t="n"/>
      <c r="H74" s="63" t="n"/>
      <c r="I74" s="15" t="n"/>
      <c r="J74" s="63" t="n"/>
      <c r="K74" s="15" t="n"/>
      <c r="L74" s="63" t="n"/>
      <c r="M74" s="63" t="n"/>
      <c r="N74" s="63" t="n"/>
    </row>
    <row r="75" ht="57.75" customHeight="1">
      <c r="A75" s="59" t="n"/>
      <c r="B75" s="59" t="n"/>
      <c r="C75" s="60" t="n"/>
      <c r="D75" s="59" t="n"/>
      <c r="E75" s="59" t="n"/>
      <c r="F75" s="59" t="n"/>
      <c r="G75" s="59" t="n"/>
      <c r="H75" s="59" t="n"/>
      <c r="I75" s="62" t="n"/>
      <c r="J75" s="59" t="n"/>
      <c r="K75" s="62" t="n"/>
      <c r="L75" s="59" t="n"/>
      <c r="M75" s="59" t="n"/>
      <c r="N75" s="59" t="n"/>
    </row>
    <row r="76" ht="87" customHeight="1">
      <c r="A76" s="63" t="n"/>
      <c r="B76" s="63" t="n"/>
      <c r="C76" s="64" t="n"/>
      <c r="D76" s="63" t="n"/>
      <c r="E76" s="63" t="n"/>
      <c r="F76" s="63" t="n"/>
      <c r="G76" s="63" t="n"/>
      <c r="H76" s="63" t="n"/>
      <c r="I76" s="15" t="n"/>
      <c r="J76" s="63" t="n"/>
      <c r="K76" s="15" t="n"/>
      <c r="L76" s="63" t="n"/>
      <c r="M76" s="63" t="n"/>
      <c r="N76" s="63" t="n"/>
    </row>
    <row r="77" ht="29.25" customHeight="1">
      <c r="A77" s="59" t="n"/>
      <c r="B77" s="59" t="n"/>
      <c r="C77" s="60" t="n"/>
      <c r="D77" s="59" t="n"/>
      <c r="E77" s="59" t="n"/>
      <c r="F77" s="59" t="n"/>
      <c r="G77" s="59" t="n"/>
      <c r="H77" s="59" t="n"/>
      <c r="I77" s="62" t="n"/>
      <c r="J77" s="59" t="n"/>
      <c r="K77" s="62" t="n"/>
      <c r="L77" s="59" t="n"/>
      <c r="M77" s="59" t="n"/>
      <c r="N77" s="59" t="n"/>
    </row>
    <row r="78" ht="87" customHeight="1">
      <c r="A78" s="63" t="n"/>
      <c r="B78" s="63" t="n"/>
      <c r="C78" s="64" t="n"/>
      <c r="D78" s="63" t="n"/>
      <c r="E78" s="63" t="n"/>
      <c r="F78" s="63" t="n"/>
      <c r="G78" s="63" t="n"/>
      <c r="H78" s="63" t="n"/>
      <c r="I78" s="15" t="n"/>
      <c r="J78" s="63" t="n"/>
      <c r="K78" s="15" t="n"/>
      <c r="L78" s="63" t="n"/>
      <c r="M78" s="63" t="n"/>
      <c r="N78" s="63" t="n"/>
    </row>
    <row r="79" ht="72.75" customHeight="1">
      <c r="A79" s="59" t="n"/>
      <c r="B79" s="59" t="n"/>
      <c r="C79" s="60" t="n"/>
      <c r="D79" s="59" t="n"/>
      <c r="E79" s="59" t="n"/>
      <c r="F79" s="59" t="n"/>
      <c r="G79" s="59" t="n"/>
      <c r="H79" s="59" t="n"/>
      <c r="I79" s="62" t="n"/>
      <c r="J79" s="59" t="n"/>
      <c r="K79" s="62" t="n"/>
      <c r="L79" s="59" t="n"/>
      <c r="M79" s="59" t="n"/>
      <c r="N79" s="59" t="n"/>
    </row>
    <row r="80" ht="174" customHeight="1">
      <c r="A80" s="63" t="n"/>
      <c r="B80" s="63" t="n"/>
      <c r="C80" s="64" t="n"/>
      <c r="D80" s="63" t="n"/>
      <c r="E80" s="63" t="n"/>
      <c r="F80" s="63" t="n"/>
      <c r="G80" s="63" t="n"/>
      <c r="H80" s="63" t="n"/>
      <c r="I80" s="15" t="n"/>
      <c r="J80" s="63" t="n"/>
      <c r="K80" s="15" t="n"/>
      <c r="L80" s="63" t="n"/>
      <c r="M80" s="63" t="n"/>
      <c r="N80" s="63" t="n"/>
    </row>
    <row r="81" ht="57.75" customHeight="1">
      <c r="A81" s="59" t="n"/>
      <c r="B81" s="59" t="n"/>
      <c r="C81" s="60" t="n"/>
      <c r="D81" s="59" t="n"/>
      <c r="E81" s="59" t="n"/>
      <c r="F81" s="59" t="n"/>
      <c r="G81" s="59" t="n"/>
      <c r="H81" s="59" t="n"/>
      <c r="I81" s="62" t="n"/>
      <c r="J81" s="59" t="n"/>
      <c r="K81" s="62" t="n"/>
      <c r="L81" s="59" t="n"/>
      <c r="M81" s="59" t="n"/>
      <c r="N81" s="59" t="n"/>
    </row>
    <row r="82" ht="43.5" customHeight="1">
      <c r="A82" s="63" t="n"/>
      <c r="B82" s="63" t="n"/>
      <c r="C82" s="64" t="n"/>
      <c r="D82" s="63" t="n"/>
      <c r="E82" s="63" t="n"/>
      <c r="F82" s="63" t="n"/>
      <c r="G82" s="63" t="n"/>
      <c r="H82" s="63" t="n"/>
      <c r="I82" s="15" t="n"/>
      <c r="J82" s="63" t="n"/>
      <c r="K82" s="15" t="n"/>
      <c r="L82" s="63" t="n"/>
      <c r="M82" s="63" t="n"/>
      <c r="N82" s="63" t="n"/>
    </row>
    <row r="83" ht="57.75" customHeight="1">
      <c r="A83" s="59" t="n"/>
      <c r="B83" s="59" t="n"/>
      <c r="C83" s="60" t="n"/>
      <c r="D83" s="59" t="n"/>
      <c r="E83" s="59" t="n"/>
      <c r="F83" s="59" t="n"/>
      <c r="G83" s="59" t="n"/>
      <c r="H83" s="59" t="n"/>
      <c r="I83" s="62" t="n"/>
      <c r="J83" s="59" t="n"/>
      <c r="K83" s="62" t="n"/>
      <c r="L83" s="59" t="n"/>
      <c r="M83" s="59" t="n"/>
      <c r="N83" s="59" t="n"/>
    </row>
    <row r="84">
      <c r="A84" s="63" t="n"/>
      <c r="B84" s="63" t="n"/>
      <c r="C84" s="64" t="n"/>
      <c r="D84" s="63" t="n"/>
      <c r="E84" s="63" t="n"/>
      <c r="F84" s="63" t="n"/>
      <c r="G84" s="63" t="n"/>
      <c r="H84" s="63" t="n"/>
      <c r="I84" s="15" t="n"/>
      <c r="J84" s="63" t="n"/>
      <c r="K84" s="15" t="n"/>
      <c r="L84" s="63" t="n"/>
      <c r="M84" s="63" t="n"/>
      <c r="N84" s="63" t="n"/>
    </row>
    <row r="85" ht="57.75" customHeight="1">
      <c r="A85" s="59" t="n"/>
      <c r="B85" s="59" t="n"/>
      <c r="C85" s="60" t="n"/>
      <c r="D85" s="59" t="n"/>
      <c r="E85" s="59" t="n"/>
      <c r="F85" s="59" t="n"/>
      <c r="G85" s="59" t="n"/>
      <c r="H85" s="59" t="n"/>
      <c r="I85" s="62" t="n"/>
      <c r="J85" s="59" t="n"/>
      <c r="K85" s="62" t="n"/>
      <c r="L85" s="59" t="n"/>
      <c r="M85" s="59" t="n"/>
      <c r="N85" s="59" t="n"/>
    </row>
    <row r="86" ht="43.5" customHeight="1">
      <c r="A86" s="63" t="n"/>
      <c r="B86" s="63" t="n"/>
      <c r="C86" s="64" t="n"/>
      <c r="D86" s="63" t="n"/>
      <c r="E86" s="63" t="n"/>
      <c r="F86" s="63" t="n"/>
      <c r="G86" s="63" t="n"/>
      <c r="H86" s="63" t="n"/>
      <c r="I86" s="15" t="n"/>
      <c r="J86" s="63" t="n"/>
      <c r="K86" s="15" t="n"/>
      <c r="L86" s="63" t="n"/>
      <c r="M86" s="63" t="n"/>
      <c r="N86" s="63" t="n"/>
    </row>
    <row r="87" ht="43.5" customHeight="1">
      <c r="A87" s="59" t="n"/>
      <c r="B87" s="59" t="n"/>
      <c r="C87" s="60" t="n"/>
      <c r="D87" s="59" t="n"/>
      <c r="E87" s="59" t="n"/>
      <c r="F87" s="59" t="n"/>
      <c r="G87" s="59" t="n"/>
      <c r="H87" s="59" t="n"/>
      <c r="I87" s="62" t="n"/>
      <c r="J87" s="59" t="n"/>
      <c r="K87" s="62" t="n"/>
      <c r="L87" s="59" t="n"/>
      <c r="M87" s="59" t="n"/>
      <c r="N87" s="59" t="n"/>
    </row>
    <row r="88" ht="43.5" customHeight="1">
      <c r="A88" s="63" t="n"/>
      <c r="B88" s="63" t="n"/>
      <c r="C88" s="64" t="n"/>
      <c r="D88" s="63" t="n"/>
      <c r="E88" s="63" t="n"/>
      <c r="F88" s="63" t="n"/>
      <c r="G88" s="63" t="n"/>
      <c r="H88" s="63" t="n"/>
      <c r="I88" s="15" t="n"/>
      <c r="J88" s="63" t="n"/>
      <c r="K88" s="15" t="n"/>
      <c r="L88" s="63" t="n"/>
      <c r="M88" s="63" t="n"/>
      <c r="N88" s="63" t="n"/>
    </row>
    <row r="89" ht="72.75" customHeight="1">
      <c r="A89" s="59" t="n"/>
      <c r="B89" s="59" t="n"/>
      <c r="C89" s="60" t="n"/>
      <c r="D89" s="59" t="n"/>
      <c r="E89" s="59" t="n"/>
      <c r="F89" s="59" t="n"/>
      <c r="G89" s="59" t="n"/>
      <c r="H89" s="59" t="n"/>
      <c r="I89" s="62" t="n"/>
      <c r="J89" s="59" t="n"/>
      <c r="K89" s="62" t="n"/>
      <c r="L89" s="59" t="n"/>
      <c r="M89" s="59" t="n"/>
      <c r="N89" s="59" t="n"/>
    </row>
    <row r="90" ht="72.75" customHeight="1">
      <c r="A90" s="63" t="n"/>
      <c r="B90" s="63" t="n"/>
      <c r="C90" s="64" t="n"/>
      <c r="D90" s="63" t="n"/>
      <c r="E90" s="63" t="n"/>
      <c r="F90" s="63" t="n"/>
      <c r="G90" s="63" t="n"/>
      <c r="H90" s="63" t="n"/>
      <c r="I90" s="15" t="n"/>
      <c r="J90" s="63" t="n"/>
      <c r="K90" s="15" t="n"/>
      <c r="L90" s="63" t="n"/>
      <c r="M90" s="63" t="n"/>
      <c r="N90" s="63" t="n"/>
    </row>
    <row r="91" ht="43.5" customHeight="1">
      <c r="A91" s="59" t="n"/>
      <c r="B91" s="59" t="n"/>
      <c r="C91" s="60" t="n"/>
      <c r="D91" s="59" t="n"/>
      <c r="E91" s="59" t="n"/>
      <c r="F91" s="59" t="n"/>
      <c r="G91" s="59" t="n"/>
      <c r="H91" s="59" t="n"/>
      <c r="I91" s="62" t="n"/>
      <c r="J91" s="59" t="n"/>
      <c r="K91" s="62" t="n"/>
      <c r="L91" s="59" t="n"/>
      <c r="M91" s="59" t="n"/>
      <c r="N91" s="59" t="n"/>
    </row>
    <row r="92" ht="101.25" customHeight="1">
      <c r="A92" s="63" t="n"/>
      <c r="B92" s="63" t="n"/>
      <c r="C92" s="64" t="n"/>
      <c r="D92" s="63" t="n"/>
      <c r="E92" s="63" t="n"/>
      <c r="F92" s="63" t="n"/>
      <c r="G92" s="63" t="n"/>
      <c r="H92" s="63" t="n"/>
      <c r="I92" s="15" t="n"/>
      <c r="J92" s="63" t="n"/>
      <c r="K92" s="15" t="n"/>
      <c r="L92" s="63" t="n"/>
      <c r="M92" s="63" t="n"/>
      <c r="N92" s="63" t="n"/>
    </row>
    <row r="93" ht="43.5" customHeight="1">
      <c r="A93" s="59" t="n"/>
      <c r="B93" s="59" t="n"/>
      <c r="C93" s="60" t="n"/>
      <c r="D93" s="59" t="n"/>
      <c r="E93" s="59" t="n"/>
      <c r="F93" s="59" t="n"/>
      <c r="G93" s="59" t="n"/>
      <c r="H93" s="59" t="n"/>
      <c r="I93" s="62" t="n"/>
      <c r="J93" s="59" t="n"/>
      <c r="K93" s="62" t="n"/>
      <c r="L93" s="59" t="n"/>
      <c r="M93" s="59" t="n"/>
      <c r="N93" s="59" t="n"/>
    </row>
    <row r="94" ht="29.25" customHeight="1">
      <c r="A94" s="63" t="n"/>
      <c r="B94" s="63" t="n"/>
      <c r="C94" s="64" t="n"/>
      <c r="D94" s="63" t="n"/>
      <c r="E94" s="63" t="n"/>
      <c r="F94" s="63" t="n"/>
      <c r="G94" s="63" t="n"/>
      <c r="H94" s="63" t="n"/>
      <c r="I94" s="15" t="n"/>
      <c r="J94" s="63" t="n"/>
      <c r="K94" s="15" t="n"/>
      <c r="L94" s="63" t="n"/>
      <c r="M94" s="63" t="n"/>
      <c r="N94" s="63" t="n"/>
    </row>
    <row r="95" ht="43.5" customHeight="1">
      <c r="A95" s="75" t="n"/>
      <c r="B95" s="75" t="n"/>
      <c r="C95" s="76" t="n"/>
      <c r="D95" s="75" t="n"/>
      <c r="E95" s="75" t="n"/>
      <c r="F95" s="75" t="n"/>
      <c r="G95" s="75" t="n"/>
      <c r="H95" s="75" t="n"/>
      <c r="I95" s="77" t="n"/>
      <c r="J95" s="75" t="n"/>
      <c r="K95" s="77" t="n"/>
      <c r="L95" s="75" t="n"/>
      <c r="M95" s="75" t="n"/>
      <c r="N95" s="75" t="n"/>
    </row>
    <row r="96" ht="57.75" customHeight="1">
      <c r="A96" s="75" t="n"/>
      <c r="B96" s="75" t="n"/>
      <c r="C96" s="76" t="n"/>
      <c r="D96" s="75" t="n"/>
      <c r="E96" s="75" t="n"/>
      <c r="F96" s="75" t="n"/>
      <c r="G96" s="75" t="n"/>
      <c r="H96" s="75" t="n"/>
      <c r="I96" s="77" t="n"/>
      <c r="J96" s="75" t="n"/>
      <c r="K96" s="77" t="n"/>
      <c r="L96" s="75" t="n"/>
      <c r="M96" s="75" t="n"/>
      <c r="N96" s="75" t="n"/>
    </row>
    <row r="97" ht="144.75" customHeight="1">
      <c r="A97" s="75" t="n"/>
      <c r="B97" s="75" t="n"/>
      <c r="C97" s="76" t="n"/>
      <c r="D97" s="75" t="n"/>
      <c r="E97" s="75" t="n"/>
      <c r="F97" s="75" t="n"/>
      <c r="G97" s="75" t="n"/>
      <c r="H97" s="75" t="n"/>
      <c r="I97" s="77" t="n"/>
      <c r="J97" s="75" t="n"/>
      <c r="K97" s="77" t="n"/>
      <c r="L97" s="75" t="n"/>
      <c r="M97" s="75" t="n"/>
      <c r="N97" s="75" t="n"/>
    </row>
    <row r="98" ht="144.75" customHeight="1">
      <c r="A98" s="75" t="n"/>
      <c r="B98" s="75" t="n"/>
      <c r="C98" s="76" t="n"/>
      <c r="D98" s="75" t="n"/>
      <c r="E98" s="75" t="n"/>
      <c r="F98" s="75" t="n"/>
      <c r="G98" s="75" t="n"/>
      <c r="H98" s="75" t="n"/>
      <c r="I98" s="77" t="n"/>
      <c r="J98" s="75" t="n"/>
      <c r="K98" s="77" t="n"/>
      <c r="L98" s="75" t="n"/>
      <c r="M98" s="75" t="n"/>
      <c r="N98" s="75" t="n"/>
    </row>
    <row r="99" ht="72.75" customHeight="1">
      <c r="A99" s="75" t="n"/>
      <c r="B99" s="75" t="n"/>
      <c r="C99" s="76" t="n"/>
      <c r="D99" s="75" t="n"/>
      <c r="E99" s="75" t="n"/>
      <c r="F99" s="75" t="n"/>
      <c r="G99" s="75" t="n"/>
      <c r="H99" s="75" t="n"/>
      <c r="I99" s="77" t="n"/>
      <c r="J99" s="75" t="n"/>
      <c r="K99" s="77" t="n"/>
      <c r="L99" s="75" t="n"/>
      <c r="M99" s="75" t="n"/>
      <c r="N99" s="75" t="n"/>
    </row>
    <row r="100" ht="57.75" customHeight="1">
      <c r="A100" s="75" t="n"/>
      <c r="B100" s="75" t="n"/>
      <c r="C100" s="76" t="n"/>
      <c r="D100" s="75" t="n"/>
      <c r="E100" s="75" t="n"/>
      <c r="F100" s="75" t="n"/>
      <c r="G100" s="75" t="n"/>
      <c r="H100" s="75" t="n"/>
      <c r="I100" s="77" t="n"/>
      <c r="J100" s="75" t="n"/>
      <c r="K100" s="77" t="n"/>
      <c r="L100" s="75" t="n"/>
      <c r="M100" s="75" t="n"/>
      <c r="N100" s="75" t="n"/>
    </row>
    <row r="101" ht="87" customHeight="1">
      <c r="A101" s="75" t="n"/>
      <c r="B101" s="75" t="n"/>
      <c r="C101" s="76" t="n"/>
      <c r="D101" s="75" t="n"/>
      <c r="E101" s="75" t="n"/>
      <c r="F101" s="75" t="n"/>
      <c r="G101" s="75" t="n"/>
      <c r="H101" s="75" t="n"/>
      <c r="I101" s="77" t="n"/>
      <c r="J101" s="75" t="n"/>
      <c r="K101" s="77" t="n"/>
      <c r="L101" s="75" t="n"/>
      <c r="M101" s="75" t="n"/>
      <c r="N101" s="75" t="n"/>
    </row>
    <row r="102" ht="72.75" customHeight="1">
      <c r="A102" s="75" t="n"/>
      <c r="B102" s="75" t="n"/>
      <c r="C102" s="76" t="n"/>
      <c r="D102" s="75" t="n"/>
      <c r="E102" s="75" t="n"/>
      <c r="F102" s="75" t="n"/>
      <c r="G102" s="75" t="n"/>
      <c r="H102" s="75" t="n"/>
      <c r="I102" s="77" t="n"/>
      <c r="J102" s="75" t="n"/>
      <c r="K102" s="77" t="n"/>
      <c r="L102" s="75" t="n"/>
      <c r="M102" s="75" t="n"/>
      <c r="N102" s="75" t="n"/>
    </row>
    <row r="103" ht="72.75" customHeight="1">
      <c r="A103" s="75" t="n"/>
      <c r="B103" s="75" t="n"/>
      <c r="C103" s="76" t="n"/>
      <c r="D103" s="75" t="n"/>
      <c r="E103" s="75" t="n"/>
      <c r="F103" s="75" t="n"/>
      <c r="G103" s="75" t="n"/>
      <c r="H103" s="75" t="n"/>
      <c r="I103" s="77" t="n"/>
      <c r="J103" s="75" t="n"/>
      <c r="K103" s="77" t="n"/>
      <c r="L103" s="75" t="n"/>
      <c r="M103" s="75" t="n"/>
      <c r="N103" s="75" t="n"/>
    </row>
    <row r="104" ht="72.75" customHeight="1">
      <c r="A104" s="75" t="n"/>
      <c r="B104" s="75" t="n"/>
      <c r="C104" s="76" t="n"/>
      <c r="D104" s="75" t="n"/>
      <c r="E104" s="75" t="n"/>
      <c r="F104" s="75" t="n"/>
      <c r="G104" s="75" t="n"/>
      <c r="H104" s="75" t="n"/>
      <c r="I104" s="77" t="n"/>
      <c r="J104" s="75" t="n"/>
      <c r="K104" s="77" t="n"/>
      <c r="L104" s="75" t="n"/>
      <c r="M104" s="75" t="n"/>
      <c r="N104" s="75" t="n"/>
    </row>
    <row r="105" ht="57.75" customHeight="1">
      <c r="A105" s="75" t="n"/>
      <c r="B105" s="75" t="n"/>
      <c r="C105" s="76" t="n"/>
      <c r="D105" s="75" t="n"/>
      <c r="E105" s="75" t="n"/>
      <c r="F105" s="75" t="n"/>
      <c r="G105" s="75" t="n"/>
      <c r="H105" s="75" t="n"/>
      <c r="I105" s="77" t="n"/>
      <c r="J105" s="75" t="n"/>
      <c r="K105" s="77" t="n"/>
      <c r="L105" s="75" t="n"/>
      <c r="M105" s="75" t="n"/>
      <c r="N105" s="75" t="n"/>
    </row>
    <row r="106" ht="57.75" customHeight="1">
      <c r="A106" s="75" t="n"/>
      <c r="B106" s="75" t="n"/>
      <c r="C106" s="76" t="n"/>
      <c r="D106" s="75" t="n"/>
      <c r="E106" s="75" t="n"/>
      <c r="F106" s="75" t="n"/>
      <c r="G106" s="75" t="n"/>
      <c r="H106" s="75" t="n"/>
      <c r="I106" s="77" t="n"/>
      <c r="J106" s="75" t="n"/>
      <c r="K106" s="77" t="n"/>
      <c r="L106" s="75" t="n"/>
      <c r="M106" s="75" t="n"/>
      <c r="N106" s="75" t="n"/>
    </row>
    <row r="107" ht="72.75" customHeight="1">
      <c r="A107" s="75" t="n"/>
      <c r="B107" s="75" t="n"/>
      <c r="C107" s="76" t="n"/>
      <c r="D107" s="75" t="n"/>
      <c r="E107" s="75" t="n"/>
      <c r="F107" s="75" t="n"/>
      <c r="G107" s="75" t="n"/>
      <c r="H107" s="75" t="n"/>
      <c r="I107" s="77" t="n"/>
      <c r="J107" s="75" t="n"/>
      <c r="K107" s="77" t="n"/>
      <c r="L107" s="75" t="n"/>
      <c r="M107" s="75" t="n"/>
      <c r="N107" s="75" t="n"/>
    </row>
    <row r="108" ht="57.75" customHeight="1">
      <c r="A108" s="75" t="n"/>
      <c r="B108" s="75" t="n"/>
      <c r="C108" s="76" t="n"/>
      <c r="D108" s="75" t="n"/>
      <c r="E108" s="75" t="n"/>
      <c r="F108" s="75" t="n"/>
      <c r="G108" s="75" t="n"/>
      <c r="H108" s="75" t="n"/>
      <c r="I108" s="77" t="n"/>
      <c r="J108" s="75" t="n"/>
      <c r="K108" s="77" t="n"/>
      <c r="L108" s="75" t="n"/>
      <c r="M108" s="75" t="n"/>
      <c r="N108" s="75" t="n"/>
    </row>
    <row r="109" ht="87" customHeight="1">
      <c r="A109" s="75" t="n"/>
      <c r="B109" s="75" t="n"/>
      <c r="C109" s="76" t="n"/>
      <c r="D109" s="75" t="n"/>
      <c r="E109" s="75" t="n"/>
      <c r="F109" s="75" t="n"/>
      <c r="G109" s="75" t="n"/>
      <c r="H109" s="75" t="n"/>
      <c r="I109" s="77" t="n"/>
      <c r="J109" s="75" t="n"/>
      <c r="K109" s="77" t="n"/>
      <c r="L109" s="75" t="n"/>
      <c r="M109" s="75" t="n"/>
      <c r="N109" s="75" t="n"/>
    </row>
    <row r="110" ht="72.75" customHeight="1">
      <c r="A110" s="75" t="n"/>
      <c r="B110" s="75" t="n"/>
      <c r="C110" s="76" t="n"/>
      <c r="D110" s="75" t="n"/>
      <c r="E110" s="75" t="n"/>
      <c r="F110" s="75" t="n"/>
      <c r="G110" s="75" t="n"/>
      <c r="H110" s="75" t="n"/>
      <c r="I110" s="77" t="n"/>
      <c r="J110" s="75" t="n"/>
      <c r="K110" s="77" t="n"/>
      <c r="L110" s="75" t="n"/>
      <c r="M110" s="75" t="n"/>
      <c r="N110" s="75" t="n"/>
    </row>
    <row r="111" ht="29.25" customHeight="1">
      <c r="A111" s="75" t="n"/>
      <c r="B111" s="75" t="n"/>
      <c r="C111" s="76" t="n"/>
      <c r="D111" s="75" t="n"/>
      <c r="E111" s="75" t="n"/>
      <c r="F111" s="75" t="n"/>
      <c r="G111" s="75" t="n"/>
      <c r="H111" s="75" t="n"/>
      <c r="I111" s="77" t="n"/>
      <c r="J111" s="75" t="n"/>
      <c r="K111" s="77" t="n"/>
      <c r="L111" s="75" t="n"/>
      <c r="M111" s="75" t="n"/>
      <c r="N111" s="75" t="n"/>
    </row>
    <row r="112" ht="87" customHeight="1">
      <c r="A112" s="75" t="n"/>
      <c r="B112" s="75" t="n"/>
      <c r="C112" s="76" t="n"/>
      <c r="D112" s="75" t="n"/>
      <c r="E112" s="75" t="n"/>
      <c r="F112" s="75" t="n"/>
      <c r="G112" s="75" t="n"/>
      <c r="H112" s="75" t="n"/>
      <c r="I112" s="77" t="n"/>
      <c r="J112" s="75" t="n"/>
      <c r="K112" s="77" t="n"/>
      <c r="L112" s="75" t="n"/>
      <c r="M112" s="75" t="n"/>
      <c r="N112" s="75" t="n"/>
    </row>
    <row r="113" ht="87" customHeight="1">
      <c r="A113" s="75" t="n"/>
      <c r="B113" s="75" t="n"/>
      <c r="C113" s="76" t="n"/>
      <c r="D113" s="75" t="n"/>
      <c r="E113" s="75" t="n"/>
      <c r="F113" s="75" t="n"/>
      <c r="G113" s="75" t="n"/>
      <c r="H113" s="75" t="n"/>
      <c r="I113" s="77" t="n"/>
      <c r="J113" s="75" t="n"/>
      <c r="K113" s="77" t="n"/>
      <c r="L113" s="75" t="n"/>
      <c r="M113" s="75" t="n"/>
      <c r="N113" s="75" t="n"/>
    </row>
    <row r="114" ht="43.5" customHeight="1">
      <c r="A114" s="75" t="n"/>
      <c r="B114" s="75" t="n"/>
      <c r="C114" s="76" t="n"/>
      <c r="D114" s="75" t="n"/>
      <c r="E114" s="75" t="n"/>
      <c r="F114" s="75" t="n"/>
      <c r="G114" s="75" t="n"/>
      <c r="H114" s="75" t="n"/>
      <c r="I114" s="77" t="n"/>
      <c r="J114" s="75" t="n"/>
      <c r="K114" s="77" t="n"/>
      <c r="L114" s="75" t="n"/>
      <c r="M114" s="75" t="n"/>
      <c r="N114" s="75" t="n"/>
    </row>
    <row r="115" ht="57.75" customHeight="1">
      <c r="A115" s="75" t="n"/>
      <c r="B115" s="75" t="n"/>
      <c r="C115" s="76" t="n"/>
      <c r="D115" s="75" t="n"/>
      <c r="E115" s="75" t="n"/>
      <c r="F115" s="75" t="n"/>
      <c r="G115" s="75" t="n"/>
      <c r="H115" s="75" t="n"/>
      <c r="I115" s="77" t="n"/>
      <c r="J115" s="75" t="n"/>
      <c r="K115" s="77" t="n"/>
      <c r="L115" s="75" t="n"/>
      <c r="M115" s="75" t="n"/>
      <c r="N115" s="75" t="n"/>
    </row>
    <row r="116" ht="130.5" customHeight="1">
      <c r="A116" s="75" t="n"/>
      <c r="B116" s="75" t="n"/>
      <c r="C116" s="76" t="n"/>
      <c r="D116" s="75" t="n"/>
      <c r="E116" s="75" t="n"/>
      <c r="F116" s="75" t="n"/>
      <c r="G116" s="75" t="n"/>
      <c r="H116" s="75" t="n"/>
      <c r="I116" s="77" t="n"/>
      <c r="J116" s="75" t="n"/>
      <c r="K116" s="77" t="n"/>
      <c r="L116" s="75" t="n"/>
      <c r="M116" s="75" t="n"/>
      <c r="N116" s="75" t="n"/>
    </row>
    <row r="117" ht="130.5" customHeight="1">
      <c r="A117" s="59" t="n"/>
      <c r="B117" s="59" t="n"/>
      <c r="C117" s="60" t="n"/>
      <c r="D117" s="59" t="n"/>
      <c r="E117" s="59" t="n"/>
      <c r="F117" s="59" t="n"/>
      <c r="G117" s="59" t="n"/>
      <c r="H117" s="59" t="n"/>
      <c r="I117" s="62" t="n"/>
      <c r="J117" s="59" t="n"/>
      <c r="K117" s="62" t="n"/>
      <c r="L117" s="59" t="n"/>
      <c r="M117" s="59" t="n"/>
      <c r="N117" s="59" t="n"/>
    </row>
    <row r="118" ht="87" customHeight="1">
      <c r="A118" s="75" t="n"/>
      <c r="B118" s="75" t="n"/>
      <c r="C118" s="76" t="n"/>
      <c r="D118" s="75" t="n"/>
      <c r="E118" s="75" t="n"/>
      <c r="F118" s="75" t="n"/>
      <c r="G118" s="75" t="n"/>
      <c r="H118" s="75" t="n"/>
      <c r="I118" s="77" t="n"/>
      <c r="J118" s="75" t="n"/>
      <c r="K118" s="77" t="n"/>
      <c r="L118" s="75" t="n"/>
      <c r="M118" s="75" t="n"/>
      <c r="N118" s="75" t="n"/>
    </row>
    <row r="119" ht="72.75" customHeight="1">
      <c r="A119" s="75" t="n"/>
      <c r="B119" s="75" t="n"/>
      <c r="C119" s="76" t="n"/>
      <c r="D119" s="75" t="n"/>
      <c r="E119" s="75" t="n"/>
      <c r="F119" s="75" t="n"/>
      <c r="G119" s="75" t="n"/>
      <c r="H119" s="75" t="n"/>
      <c r="I119" s="77" t="n"/>
      <c r="J119" s="75" t="n"/>
      <c r="K119" s="77" t="n"/>
      <c r="L119" s="75" t="n"/>
      <c r="M119" s="75" t="n"/>
      <c r="N119" s="75" t="n"/>
    </row>
    <row r="120" ht="43.5" customHeight="1">
      <c r="A120" s="75" t="n"/>
      <c r="B120" s="75" t="n"/>
      <c r="C120" s="76" t="n"/>
      <c r="D120" s="75" t="n"/>
      <c r="E120" s="75" t="n"/>
      <c r="F120" s="75" t="n"/>
      <c r="G120" s="75" t="n"/>
      <c r="H120" s="75" t="n"/>
      <c r="I120" s="77" t="n"/>
      <c r="J120" s="75" t="n"/>
      <c r="K120" s="77" t="n"/>
      <c r="L120" s="75" t="n"/>
      <c r="M120" s="75" t="n"/>
      <c r="N120" s="75" t="n"/>
    </row>
    <row r="121" ht="87" customHeight="1">
      <c r="A121" s="75" t="n"/>
      <c r="B121" s="75" t="n"/>
      <c r="C121" s="76" t="n"/>
      <c r="D121" s="75" t="n"/>
      <c r="E121" s="75" t="n"/>
      <c r="F121" s="75" t="n"/>
      <c r="G121" s="75" t="n"/>
      <c r="H121" s="75" t="n"/>
      <c r="I121" s="77" t="n"/>
      <c r="J121" s="75" t="n"/>
      <c r="K121" s="77" t="n"/>
      <c r="L121" s="75" t="n"/>
      <c r="M121" s="75" t="n"/>
      <c r="N121" s="75" t="n"/>
    </row>
    <row r="122">
      <c r="A122" s="75" t="n"/>
      <c r="B122" s="75" t="n"/>
      <c r="C122" s="76" t="n"/>
      <c r="D122" s="75" t="n"/>
      <c r="E122" s="75" t="n"/>
      <c r="F122" s="75" t="n"/>
      <c r="G122" s="75" t="n"/>
      <c r="H122" s="75" t="n"/>
      <c r="I122" s="77" t="n"/>
      <c r="J122" s="75" t="n"/>
      <c r="K122" s="77" t="n"/>
      <c r="L122" s="75" t="n"/>
      <c r="M122" s="75" t="n"/>
      <c r="N122" s="75" t="n"/>
    </row>
    <row r="123">
      <c r="A123" s="75" t="n"/>
      <c r="B123" s="75" t="n"/>
      <c r="C123" s="76" t="n"/>
      <c r="D123" s="75" t="n"/>
      <c r="E123" s="75" t="n"/>
      <c r="F123" s="75" t="n"/>
      <c r="G123" s="75" t="n"/>
      <c r="H123" s="75" t="n"/>
      <c r="I123" s="77" t="n"/>
      <c r="J123" s="75" t="n"/>
      <c r="K123" s="77" t="n"/>
      <c r="L123" s="75" t="n"/>
      <c r="M123" s="75" t="n"/>
      <c r="N123" s="75" t="n"/>
    </row>
    <row r="124" ht="87" customHeight="1">
      <c r="A124" s="75" t="n"/>
      <c r="B124" s="75" t="n"/>
      <c r="C124" s="76" t="n"/>
      <c r="D124" s="75" t="n"/>
      <c r="E124" s="75" t="n"/>
      <c r="F124" s="75" t="n"/>
      <c r="G124" s="75" t="n"/>
      <c r="H124" s="75" t="n"/>
      <c r="I124" s="77" t="n"/>
      <c r="J124" s="75" t="n"/>
      <c r="K124" s="77" t="n"/>
      <c r="L124" s="75" t="n"/>
      <c r="M124" s="75" t="n"/>
      <c r="N124" s="75" t="n"/>
    </row>
    <row r="125" ht="87" customHeight="1">
      <c r="A125" s="75" t="n"/>
      <c r="B125" s="75" t="n"/>
      <c r="C125" s="76" t="n"/>
      <c r="D125" s="75" t="n"/>
      <c r="E125" s="75" t="n"/>
      <c r="F125" s="75" t="n"/>
      <c r="G125" s="75" t="n"/>
      <c r="H125" s="75" t="n"/>
      <c r="I125" s="77" t="n"/>
      <c r="J125" s="75" t="n"/>
      <c r="K125" s="77" t="n"/>
      <c r="L125" s="75" t="n"/>
      <c r="M125" s="75" t="n"/>
      <c r="N125" s="75" t="n"/>
    </row>
    <row r="126" ht="87" customHeight="1">
      <c r="A126" s="75" t="n"/>
      <c r="B126" s="75" t="n"/>
      <c r="C126" s="76" t="n"/>
      <c r="D126" s="75" t="n"/>
      <c r="E126" s="75" t="n"/>
      <c r="F126" s="75" t="n"/>
      <c r="G126" s="75" t="n"/>
      <c r="H126" s="75" t="n"/>
      <c r="I126" s="77" t="n"/>
      <c r="J126" s="75" t="n"/>
      <c r="K126" s="77" t="n"/>
      <c r="L126" s="75" t="n"/>
      <c r="M126" s="75" t="n"/>
      <c r="N126" s="75" t="n"/>
    </row>
    <row r="127" ht="101.25" customHeight="1">
      <c r="A127" s="75" t="n"/>
      <c r="B127" s="75" t="n"/>
      <c r="C127" s="76" t="n"/>
      <c r="D127" s="75" t="n"/>
      <c r="E127" s="75" t="n"/>
      <c r="F127" s="75" t="n"/>
      <c r="G127" s="75" t="n"/>
      <c r="H127" s="75" t="n"/>
      <c r="I127" s="77" t="n"/>
      <c r="J127" s="75" t="n"/>
      <c r="K127" s="77" t="n"/>
      <c r="L127" s="75" t="n"/>
      <c r="M127" s="75" t="n"/>
      <c r="N127" s="75" t="n"/>
    </row>
    <row r="128" ht="87" customHeight="1">
      <c r="A128" s="75" t="n"/>
      <c r="B128" s="75" t="n"/>
      <c r="C128" s="76" t="n"/>
      <c r="D128" s="75" t="n"/>
      <c r="E128" s="75" t="n"/>
      <c r="F128" s="75" t="n"/>
      <c r="G128" s="75" t="n"/>
      <c r="H128" s="75" t="n"/>
      <c r="I128" s="77" t="n"/>
      <c r="J128" s="75" t="n"/>
      <c r="K128" s="77" t="n"/>
      <c r="L128" s="75" t="n"/>
      <c r="M128" s="75" t="n"/>
      <c r="N128" s="75" t="n"/>
    </row>
    <row r="129" ht="72.75" customHeight="1">
      <c r="A129" s="75" t="n"/>
      <c r="B129" s="75" t="n"/>
      <c r="C129" s="76" t="n"/>
      <c r="D129" s="75" t="n"/>
      <c r="E129" s="75" t="n"/>
      <c r="F129" s="75" t="n"/>
      <c r="G129" s="75" t="n"/>
      <c r="H129" s="75" t="n"/>
      <c r="I129" s="77" t="n"/>
      <c r="J129" s="75" t="n"/>
      <c r="K129" s="77" t="n"/>
      <c r="L129" s="75" t="n"/>
      <c r="M129" s="75" t="n"/>
      <c r="N129" s="75" t="n"/>
    </row>
    <row r="130" ht="87" customHeight="1">
      <c r="A130" s="75" t="n"/>
      <c r="B130" s="75" t="n"/>
      <c r="C130" s="76" t="n"/>
      <c r="D130" s="75" t="n"/>
      <c r="E130" s="75" t="n"/>
      <c r="F130" s="75" t="n"/>
      <c r="G130" s="75" t="n"/>
      <c r="H130" s="75" t="n"/>
      <c r="I130" s="77" t="n"/>
      <c r="J130" s="75" t="n"/>
      <c r="K130" s="77" t="n"/>
      <c r="L130" s="75" t="n"/>
      <c r="M130" s="75" t="n"/>
      <c r="N130" s="75" t="n"/>
    </row>
    <row r="131" ht="43.5" customHeight="1">
      <c r="A131" s="75" t="n"/>
      <c r="B131" s="75" t="n"/>
      <c r="C131" s="76" t="n"/>
      <c r="D131" s="75" t="n"/>
      <c r="E131" s="75" t="n"/>
      <c r="F131" s="75" t="n"/>
      <c r="G131" s="75" t="n"/>
      <c r="H131" s="75" t="n"/>
      <c r="I131" s="77" t="n"/>
      <c r="J131" s="75" t="n"/>
      <c r="K131" s="77" t="n"/>
      <c r="L131" s="75" t="n"/>
      <c r="M131" s="75" t="n"/>
      <c r="N131" s="75" t="n"/>
    </row>
    <row r="132" ht="57.75" customHeight="1">
      <c r="A132" s="75" t="n"/>
      <c r="B132" s="75" t="n"/>
      <c r="C132" s="76" t="n"/>
      <c r="D132" s="75" t="n"/>
      <c r="E132" s="75" t="n"/>
      <c r="F132" s="75" t="n"/>
      <c r="G132" s="75" t="n"/>
      <c r="H132" s="75" t="n"/>
      <c r="I132" s="77" t="n"/>
      <c r="J132" s="75" t="n"/>
      <c r="K132" s="77" t="n"/>
      <c r="L132" s="75" t="n"/>
      <c r="M132" s="75" t="n"/>
      <c r="N132" s="75" t="n"/>
    </row>
    <row r="133" ht="101.25" customHeight="1">
      <c r="A133" s="75" t="n"/>
      <c r="B133" s="75" t="n"/>
      <c r="C133" s="76" t="n"/>
      <c r="D133" s="75" t="n"/>
      <c r="E133" s="75" t="n"/>
      <c r="F133" s="75" t="n"/>
      <c r="G133" s="75" t="n"/>
      <c r="H133" s="75" t="n"/>
      <c r="I133" s="77" t="n"/>
      <c r="J133" s="75" t="n"/>
      <c r="K133" s="77" t="n"/>
      <c r="L133" s="75" t="n"/>
      <c r="M133" s="75" t="n"/>
      <c r="N133" s="75" t="n"/>
    </row>
    <row r="134" ht="72.75" customHeight="1">
      <c r="A134" s="75" t="n"/>
      <c r="B134" s="75" t="n"/>
      <c r="C134" s="76" t="n"/>
      <c r="D134" s="75" t="n"/>
      <c r="E134" s="75" t="n"/>
      <c r="F134" s="75" t="n"/>
      <c r="G134" s="75" t="n"/>
      <c r="H134" s="75" t="n"/>
      <c r="I134" s="77" t="n"/>
      <c r="J134" s="75" t="n"/>
      <c r="K134" s="77" t="n"/>
      <c r="L134" s="75" t="n"/>
      <c r="M134" s="75" t="n"/>
      <c r="N134" s="75" t="n"/>
    </row>
    <row r="135" ht="87" customHeight="1">
      <c r="A135" s="75" t="n"/>
      <c r="B135" s="75" t="n"/>
      <c r="C135" s="76" t="n"/>
      <c r="D135" s="75" t="n"/>
      <c r="E135" s="75" t="n"/>
      <c r="F135" s="75" t="n"/>
      <c r="G135" s="75" t="n"/>
      <c r="H135" s="75" t="n"/>
      <c r="I135" s="77" t="n"/>
      <c r="J135" s="75" t="n"/>
      <c r="K135" s="77" t="n"/>
      <c r="L135" s="75" t="n"/>
      <c r="M135" s="75" t="n"/>
      <c r="N135" s="75" t="n"/>
    </row>
    <row r="136" ht="72.75" customHeight="1">
      <c r="A136" s="75" t="n"/>
      <c r="B136" s="75" t="n"/>
      <c r="C136" s="76" t="n"/>
      <c r="D136" s="75" t="n"/>
      <c r="E136" s="75" t="n"/>
      <c r="F136" s="75" t="n"/>
      <c r="G136" s="75" t="n"/>
      <c r="H136" s="75" t="n"/>
      <c r="I136" s="77" t="n"/>
      <c r="J136" s="75" t="n"/>
      <c r="K136" s="77" t="n"/>
      <c r="L136" s="75" t="n"/>
      <c r="M136" s="75" t="n"/>
      <c r="N136" s="75" t="n"/>
    </row>
    <row r="137" ht="87" customHeight="1">
      <c r="A137" s="75" t="n"/>
      <c r="B137" s="75" t="n"/>
      <c r="C137" s="76" t="n"/>
      <c r="D137" s="75" t="n"/>
      <c r="E137" s="75" t="n"/>
      <c r="F137" s="75" t="n"/>
      <c r="G137" s="75" t="n"/>
      <c r="H137" s="75" t="n"/>
      <c r="I137" s="77" t="n"/>
      <c r="J137" s="75" t="n"/>
      <c r="K137" s="77" t="n"/>
      <c r="L137" s="75" t="n"/>
      <c r="M137" s="75" t="n"/>
      <c r="N137" s="75" t="n"/>
    </row>
    <row r="138" ht="101.25" customHeight="1">
      <c r="A138" s="75" t="n"/>
      <c r="B138" s="75" t="n"/>
      <c r="C138" s="76" t="n"/>
      <c r="D138" s="75" t="n"/>
      <c r="E138" s="75" t="n"/>
      <c r="F138" s="75" t="n"/>
      <c r="G138" s="75" t="n"/>
      <c r="H138" s="75" t="n"/>
      <c r="I138" s="77" t="n"/>
      <c r="J138" s="75" t="n"/>
      <c r="K138" s="77" t="n"/>
      <c r="L138" s="75" t="n"/>
      <c r="M138" s="75" t="n"/>
      <c r="N138" s="75" t="n"/>
    </row>
    <row r="139" ht="72.75" customHeight="1">
      <c r="A139" s="75" t="n"/>
      <c r="B139" s="75" t="n"/>
      <c r="C139" s="76" t="n"/>
      <c r="D139" s="75" t="n"/>
      <c r="E139" s="75" t="n"/>
      <c r="F139" s="75" t="n"/>
      <c r="G139" s="75" t="n"/>
      <c r="H139" s="75" t="n"/>
      <c r="I139" s="77" t="n"/>
      <c r="J139" s="75" t="n"/>
      <c r="K139" s="77" t="n"/>
      <c r="L139" s="75" t="n"/>
      <c r="M139" s="75" t="n"/>
      <c r="N139" s="75" t="n"/>
    </row>
    <row r="140" ht="72.75" customHeight="1">
      <c r="A140" s="75" t="n"/>
      <c r="B140" s="75" t="n"/>
      <c r="C140" s="76" t="n"/>
      <c r="D140" s="75" t="n"/>
      <c r="E140" s="75" t="n"/>
      <c r="F140" s="75" t="n"/>
      <c r="G140" s="75" t="n"/>
      <c r="H140" s="75" t="n"/>
      <c r="I140" s="77" t="n"/>
      <c r="J140" s="75" t="n"/>
      <c r="K140" s="77" t="n"/>
      <c r="L140" s="75" t="n"/>
      <c r="M140" s="75" t="n"/>
      <c r="N140" s="75" t="n"/>
    </row>
    <row r="141" ht="72.75" customHeight="1">
      <c r="A141" s="75" t="n"/>
      <c r="B141" s="75" t="n"/>
      <c r="C141" s="76" t="n"/>
      <c r="D141" s="75" t="n"/>
      <c r="E141" s="75" t="n"/>
      <c r="F141" s="75" t="n"/>
      <c r="G141" s="75" t="n"/>
      <c r="H141" s="75" t="n"/>
      <c r="I141" s="77" t="n"/>
      <c r="J141" s="75" t="n"/>
      <c r="K141" s="77" t="n"/>
      <c r="L141" s="75" t="n"/>
      <c r="M141" s="75" t="n"/>
      <c r="N141" s="75" t="n"/>
    </row>
    <row r="142" ht="87" customHeight="1">
      <c r="A142" s="75" t="n"/>
      <c r="B142" s="75" t="n"/>
      <c r="C142" s="76" t="n"/>
      <c r="D142" s="75" t="n"/>
      <c r="E142" s="75" t="n"/>
      <c r="F142" s="75" t="n"/>
      <c r="G142" s="75" t="n"/>
      <c r="H142" s="75" t="n"/>
      <c r="I142" s="77" t="n"/>
      <c r="J142" s="75" t="n"/>
      <c r="K142" s="77" t="n"/>
      <c r="L142" s="75" t="n"/>
      <c r="M142" s="75" t="n"/>
      <c r="N142" s="75" t="n"/>
    </row>
    <row r="143" ht="130.5" customHeight="1">
      <c r="A143" s="75" t="n"/>
      <c r="B143" s="75" t="n"/>
      <c r="C143" s="76" t="n"/>
      <c r="D143" s="75" t="n"/>
      <c r="E143" s="75" t="n"/>
      <c r="F143" s="75" t="n"/>
      <c r="G143" s="75" t="n"/>
      <c r="H143" s="75" t="n"/>
      <c r="I143" s="77" t="n"/>
      <c r="J143" s="75" t="n"/>
      <c r="K143" s="77" t="n"/>
      <c r="L143" s="75" t="n"/>
      <c r="M143" s="75" t="n"/>
      <c r="N143" s="75" t="n"/>
    </row>
    <row r="144" ht="130.5" customHeight="1">
      <c r="A144" s="75" t="n"/>
      <c r="B144" s="75" t="n"/>
      <c r="C144" s="76" t="n"/>
      <c r="D144" s="75" t="n"/>
      <c r="E144" s="75" t="n"/>
      <c r="F144" s="75" t="n"/>
      <c r="G144" s="75" t="n"/>
      <c r="H144" s="75" t="n"/>
      <c r="I144" s="77" t="n"/>
      <c r="J144" s="75" t="n"/>
      <c r="K144" s="77" t="n"/>
      <c r="L144" s="75" t="n"/>
      <c r="M144" s="75" t="n"/>
      <c r="N144" s="75" t="n"/>
    </row>
    <row r="145" ht="57.75" customHeight="1">
      <c r="A145" s="75" t="n"/>
      <c r="B145" s="75" t="n"/>
      <c r="C145" s="76" t="n"/>
      <c r="D145" s="75" t="n"/>
      <c r="E145" s="75" t="n"/>
      <c r="F145" s="75" t="n"/>
      <c r="G145" s="75" t="n"/>
      <c r="H145" s="75" t="n"/>
      <c r="I145" s="77" t="n"/>
      <c r="J145" s="75" t="n"/>
      <c r="K145" s="77" t="n"/>
      <c r="L145" s="75" t="n"/>
      <c r="M145" s="75" t="n"/>
      <c r="N145" s="75" t="n"/>
    </row>
    <row r="146" ht="57.75" customHeight="1">
      <c r="A146" s="75" t="n"/>
      <c r="B146" s="75" t="n"/>
      <c r="C146" s="76" t="n"/>
      <c r="D146" s="75" t="n"/>
      <c r="E146" s="75" t="n"/>
      <c r="F146" s="75" t="n"/>
      <c r="G146" s="75" t="n"/>
      <c r="H146" s="75" t="n"/>
      <c r="I146" s="77" t="n"/>
      <c r="J146" s="75" t="n"/>
      <c r="K146" s="77" t="n"/>
      <c r="L146" s="75" t="n"/>
      <c r="M146" s="75" t="n"/>
      <c r="N146" s="75" t="n"/>
    </row>
    <row r="147" ht="57.75" customHeight="1">
      <c r="A147" s="75" t="n"/>
      <c r="B147" s="75" t="n"/>
      <c r="C147" s="76" t="n"/>
      <c r="D147" s="75" t="n"/>
      <c r="E147" s="75" t="n"/>
      <c r="F147" s="75" t="n"/>
      <c r="G147" s="75" t="n"/>
      <c r="H147" s="75" t="n"/>
      <c r="I147" s="77" t="n"/>
      <c r="J147" s="75" t="n"/>
      <c r="K147" s="77" t="n"/>
      <c r="L147" s="75" t="n"/>
      <c r="M147" s="75" t="n"/>
      <c r="N147" s="75" t="n"/>
    </row>
    <row r="148" ht="72.75" customHeight="1">
      <c r="A148" s="75" t="n"/>
      <c r="B148" s="75" t="n"/>
      <c r="C148" s="76" t="n"/>
      <c r="D148" s="75" t="n"/>
      <c r="E148" s="75" t="n"/>
      <c r="F148" s="75" t="n"/>
      <c r="G148" s="75" t="n"/>
      <c r="H148" s="75" t="n"/>
      <c r="I148" s="77" t="n"/>
      <c r="J148" s="75" t="n"/>
      <c r="K148" s="77" t="n"/>
      <c r="L148" s="75" t="n"/>
      <c r="M148" s="75" t="n"/>
      <c r="N148" s="75" t="n"/>
    </row>
    <row r="149" ht="174" customHeight="1">
      <c r="A149" s="75" t="n"/>
      <c r="B149" s="75" t="n"/>
      <c r="C149" s="76" t="n"/>
      <c r="D149" s="75" t="n"/>
      <c r="E149" s="75" t="n"/>
      <c r="F149" s="75" t="n"/>
      <c r="G149" s="75" t="n"/>
      <c r="H149" s="75" t="n"/>
      <c r="I149" s="77" t="n"/>
      <c r="J149" s="75" t="n"/>
      <c r="K149" s="77" t="n"/>
      <c r="L149" s="75" t="n"/>
      <c r="M149" s="75" t="n"/>
      <c r="N149" s="75" t="n"/>
    </row>
    <row r="150" ht="57.75" customHeight="1">
      <c r="A150" s="75" t="n"/>
      <c r="B150" s="75" t="n"/>
      <c r="C150" s="76" t="n"/>
      <c r="D150" s="75" t="n"/>
      <c r="E150" s="75" t="n"/>
      <c r="F150" s="75" t="n"/>
      <c r="G150" s="75" t="n"/>
      <c r="H150" s="75" t="n"/>
      <c r="I150" s="77" t="n"/>
      <c r="J150" s="75" t="n"/>
      <c r="K150" s="77" t="n"/>
      <c r="L150" s="75" t="n"/>
      <c r="M150" s="75" t="n"/>
      <c r="N150" s="75" t="n"/>
    </row>
    <row r="151" ht="101.25" customHeight="1">
      <c r="A151" s="75" t="n"/>
      <c r="B151" s="75" t="n"/>
      <c r="C151" s="76" t="n"/>
      <c r="D151" s="75" t="n"/>
      <c r="E151" s="75" t="n"/>
      <c r="F151" s="75" t="n"/>
      <c r="G151" s="75" t="n"/>
      <c r="H151" s="75" t="n"/>
      <c r="I151" s="77" t="n"/>
      <c r="J151" s="75" t="n"/>
      <c r="K151" s="77" t="n"/>
      <c r="L151" s="75" t="n"/>
      <c r="M151" s="75" t="n"/>
      <c r="N151" s="75" t="n"/>
    </row>
    <row r="152" ht="87" customHeight="1">
      <c r="A152" s="75" t="n"/>
      <c r="B152" s="75" t="n"/>
      <c r="C152" s="76" t="n"/>
      <c r="D152" s="75" t="n"/>
      <c r="E152" s="75" t="n"/>
      <c r="F152" s="75" t="n"/>
      <c r="G152" s="75" t="n"/>
      <c r="H152" s="75" t="n"/>
      <c r="I152" s="77" t="n"/>
      <c r="J152" s="75" t="n"/>
      <c r="K152" s="77" t="n"/>
      <c r="L152" s="75" t="n"/>
      <c r="M152" s="75" t="n"/>
      <c r="N152" s="75" t="n"/>
    </row>
    <row r="153" ht="115.5" customHeight="1">
      <c r="A153" s="75" t="n"/>
      <c r="B153" s="75" t="n"/>
      <c r="C153" s="76" t="n"/>
      <c r="D153" s="75" t="n"/>
      <c r="E153" s="75" t="n"/>
      <c r="F153" s="75" t="n"/>
      <c r="G153" s="75" t="n"/>
      <c r="H153" s="75" t="n"/>
      <c r="I153" s="77" t="n"/>
      <c r="J153" s="75" t="n"/>
      <c r="K153" s="77" t="n"/>
      <c r="L153" s="75" t="n"/>
      <c r="M153" s="75" t="n"/>
      <c r="N153" s="75" t="n"/>
    </row>
    <row r="154" ht="174" customHeight="1">
      <c r="A154" s="75" t="n"/>
      <c r="B154" s="75" t="n"/>
      <c r="C154" s="76" t="n"/>
      <c r="D154" s="75" t="n"/>
      <c r="E154" s="75" t="n"/>
      <c r="F154" s="75" t="n"/>
      <c r="G154" s="75" t="n"/>
      <c r="H154" s="75" t="n"/>
      <c r="I154" s="77" t="n"/>
      <c r="J154" s="75" t="n"/>
      <c r="K154" s="77" t="n"/>
      <c r="L154" s="75" t="n"/>
      <c r="M154" s="75" t="n"/>
      <c r="N154" s="75" t="n"/>
    </row>
    <row r="155" ht="72.75" customHeight="1">
      <c r="A155" s="75" t="n"/>
      <c r="B155" s="75" t="n"/>
      <c r="C155" s="76" t="n"/>
      <c r="D155" s="75" t="n"/>
      <c r="E155" s="75" t="n"/>
      <c r="F155" s="75" t="n"/>
      <c r="G155" s="75" t="n"/>
      <c r="H155" s="75" t="n"/>
      <c r="I155" s="77" t="n"/>
      <c r="J155" s="75" t="n"/>
      <c r="K155" s="77" t="n"/>
      <c r="L155" s="75" t="n"/>
      <c r="M155" s="75" t="n"/>
      <c r="N155" s="75" t="n"/>
    </row>
    <row r="156" ht="174" customHeight="1">
      <c r="A156" s="75" t="n"/>
      <c r="B156" s="75" t="n"/>
      <c r="C156" s="76" t="n"/>
      <c r="D156" s="75" t="n"/>
      <c r="E156" s="75" t="n"/>
      <c r="F156" s="75" t="n"/>
      <c r="G156" s="75" t="n"/>
      <c r="H156" s="75" t="n"/>
      <c r="I156" s="77" t="n"/>
      <c r="J156" s="75" t="n"/>
      <c r="K156" s="77" t="n"/>
      <c r="L156" s="75" t="n"/>
      <c r="M156" s="75" t="n"/>
      <c r="N156" s="75" t="n"/>
    </row>
    <row r="157" ht="115.5" customHeight="1">
      <c r="A157" s="75" t="n"/>
      <c r="B157" s="75" t="n"/>
      <c r="C157" s="76" t="n"/>
      <c r="D157" s="75" t="n"/>
      <c r="E157" s="75" t="n"/>
      <c r="F157" s="75" t="n"/>
      <c r="G157" s="75" t="n"/>
      <c r="H157" s="75" t="n"/>
      <c r="I157" s="77" t="n"/>
      <c r="J157" s="75" t="n"/>
      <c r="K157" s="77" t="n"/>
      <c r="L157" s="75" t="n"/>
      <c r="M157" s="75" t="n"/>
      <c r="N157" s="75" t="n"/>
    </row>
    <row r="158" ht="87" customHeight="1">
      <c r="A158" s="75" t="n"/>
      <c r="B158" s="75" t="n"/>
      <c r="C158" s="76" t="n"/>
      <c r="D158" s="75" t="n"/>
      <c r="E158" s="75" t="n"/>
      <c r="F158" s="75" t="n"/>
      <c r="G158" s="75" t="n"/>
      <c r="H158" s="75" t="n"/>
      <c r="I158" s="77" t="n"/>
      <c r="J158" s="75" t="n"/>
      <c r="K158" s="77" t="n"/>
      <c r="L158" s="75" t="n"/>
      <c r="M158" s="75" t="n"/>
      <c r="N158" s="75" t="n"/>
    </row>
    <row r="159" ht="29.25" customHeight="1">
      <c r="A159" s="75" t="n"/>
      <c r="B159" s="75" t="n"/>
      <c r="C159" s="76" t="n"/>
      <c r="D159" s="75" t="n"/>
      <c r="E159" s="75" t="n"/>
      <c r="F159" s="75" t="n"/>
      <c r="G159" s="75" t="n"/>
      <c r="H159" s="75" t="n"/>
      <c r="I159" s="77" t="n"/>
      <c r="J159" s="75" t="n"/>
      <c r="K159" s="77" t="n"/>
      <c r="L159" s="75" t="n"/>
      <c r="M159" s="75" t="n"/>
      <c r="N159" s="75" t="n"/>
    </row>
    <row r="160" ht="72.75" customHeight="1">
      <c r="A160" s="75" t="n"/>
      <c r="B160" s="75" t="n"/>
      <c r="C160" s="76" t="n"/>
      <c r="D160" s="75" t="n"/>
      <c r="E160" s="75" t="n"/>
      <c r="F160" s="75" t="n"/>
      <c r="G160" s="75" t="n"/>
      <c r="H160" s="75" t="n"/>
      <c r="I160" s="77" t="n"/>
      <c r="J160" s="75" t="n"/>
      <c r="K160" s="77" t="n"/>
      <c r="L160" s="75" t="n"/>
      <c r="M160" s="75" t="n"/>
      <c r="N160" s="75" t="n"/>
    </row>
    <row r="161" ht="72.75" customHeight="1">
      <c r="A161" s="59" t="n"/>
      <c r="B161" s="59" t="n"/>
      <c r="C161" s="60" t="n"/>
      <c r="D161" s="59" t="n"/>
      <c r="E161" s="59" t="n"/>
      <c r="F161" s="59" t="n"/>
      <c r="G161" s="59" t="n"/>
      <c r="H161" s="59" t="n"/>
      <c r="I161" s="62" t="n"/>
      <c r="J161" s="59" t="n"/>
      <c r="K161" s="62" t="n"/>
      <c r="L161" s="59" t="n"/>
      <c r="M161" s="59" t="n"/>
      <c r="N161" s="59" t="n"/>
    </row>
    <row r="162" ht="29.25" customHeight="1">
      <c r="A162" s="75" t="n"/>
      <c r="B162" s="75" t="n"/>
      <c r="C162" s="76" t="n"/>
      <c r="D162" s="75" t="n"/>
      <c r="E162" s="75" t="n"/>
      <c r="F162" s="75" t="n"/>
      <c r="G162" s="75" t="n"/>
      <c r="H162" s="75" t="n"/>
      <c r="I162" s="77" t="n"/>
      <c r="J162" s="75" t="n"/>
      <c r="K162" s="77" t="n"/>
      <c r="L162" s="75" t="n"/>
      <c r="M162" s="75" t="n"/>
      <c r="N162" s="75" t="n"/>
    </row>
    <row r="163" ht="72.75" customHeight="1">
      <c r="A163" s="75" t="n"/>
      <c r="B163" s="75" t="n"/>
      <c r="C163" s="76" t="n"/>
      <c r="D163" s="75" t="n"/>
      <c r="E163" s="75" t="n"/>
      <c r="F163" s="75" t="n"/>
      <c r="G163" s="75" t="n"/>
      <c r="H163" s="75" t="n"/>
      <c r="I163" s="77" t="n"/>
      <c r="J163" s="75" t="n"/>
      <c r="K163" s="77" t="n"/>
      <c r="L163" s="75" t="n"/>
      <c r="M163" s="75" t="n"/>
      <c r="N163" s="75" t="n"/>
    </row>
    <row r="164" ht="72.75" customHeight="1">
      <c r="A164" s="75" t="n"/>
      <c r="B164" s="75" t="n"/>
      <c r="C164" s="76" t="n"/>
      <c r="D164" s="75" t="n"/>
      <c r="E164" s="75" t="n"/>
      <c r="F164" s="75" t="n"/>
      <c r="G164" s="75" t="n"/>
      <c r="H164" s="75" t="n"/>
      <c r="I164" s="77" t="n"/>
      <c r="J164" s="75" t="n"/>
      <c r="K164" s="77" t="n"/>
      <c r="L164" s="75" t="n"/>
      <c r="M164" s="75" t="n"/>
      <c r="N164" s="75" t="n"/>
    </row>
    <row r="165" ht="43.5" customHeight="1">
      <c r="A165" s="75" t="n"/>
      <c r="B165" s="75" t="n"/>
      <c r="C165" s="76" t="n"/>
      <c r="D165" s="75" t="n"/>
      <c r="E165" s="75" t="n"/>
      <c r="F165" s="75" t="n"/>
      <c r="G165" s="75" t="n"/>
      <c r="H165" s="75" t="n"/>
      <c r="I165" s="77" t="n"/>
      <c r="J165" s="75" t="n"/>
      <c r="K165" s="77" t="n"/>
      <c r="L165" s="75" t="n"/>
      <c r="M165" s="75" t="n"/>
      <c r="N165" s="75" t="n"/>
    </row>
    <row r="166" ht="57.75" customHeight="1">
      <c r="A166" s="75" t="n"/>
      <c r="B166" s="75" t="n"/>
      <c r="C166" s="76" t="n"/>
      <c r="D166" s="75" t="n"/>
      <c r="E166" s="75" t="n"/>
      <c r="F166" s="75" t="n"/>
      <c r="G166" s="75" t="n"/>
      <c r="H166" s="75" t="n"/>
      <c r="I166" s="77" t="n"/>
      <c r="J166" s="75" t="n"/>
      <c r="K166" s="77" t="n"/>
      <c r="L166" s="75" t="n"/>
      <c r="M166" s="75" t="n"/>
      <c r="N166" s="7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N871"/>
  <sheetViews>
    <sheetView topLeftCell="H633" workbookViewId="0">
      <selection activeCell="N633" sqref="N633"/>
    </sheetView>
  </sheetViews>
  <sheetFormatPr baseColWidth="8" defaultRowHeight="15"/>
  <cols>
    <col width="23.85546875" bestFit="1" customWidth="1" min="2" max="2"/>
    <col width="16.5703125" bestFit="1" customWidth="1" min="3" max="3"/>
    <col width="28.5703125" customWidth="1" min="4" max="4"/>
    <col width="12.140625" bestFit="1" customWidth="1" min="5" max="5"/>
    <col width="26.5703125" customWidth="1" min="6" max="6"/>
    <col width="26.85546875" customWidth="1" min="7" max="7"/>
    <col width="27" customWidth="1" min="8" max="8"/>
    <col width="28.140625" customWidth="1" min="9" max="9"/>
    <col width="24.140625" customWidth="1" min="10" max="10"/>
    <col width="26" customWidth="1" min="11" max="11"/>
    <col width="21.85546875" customWidth="1" min="12" max="12"/>
    <col width="19.140625" customWidth="1" min="13" max="13"/>
    <col width="21" customWidth="1" min="14" max="14"/>
    <col width="116.42578125" bestFit="1" customWidth="1" min="15" max="15"/>
  </cols>
  <sheetData>
    <row r="1">
      <c r="A1" s="72" t="inlineStr">
        <is>
          <t>ID</t>
        </is>
      </c>
      <c r="B1" s="72" t="inlineStr">
        <is>
          <t>Creado por</t>
        </is>
      </c>
      <c r="C1" s="72" t="inlineStr">
        <is>
          <t>Creado</t>
        </is>
      </c>
      <c r="D1" s="72" t="inlineStr">
        <is>
          <t>Area</t>
        </is>
      </c>
      <c r="E1" s="72" t="inlineStr">
        <is>
          <t>Solicitud</t>
        </is>
      </c>
      <c r="F1" s="72" t="inlineStr">
        <is>
          <t xml:space="preserve">RNC o Cédula </t>
        </is>
      </c>
      <c r="G1" s="72" t="inlineStr">
        <is>
          <t>Razón Social o Nombre comercial</t>
        </is>
      </c>
      <c r="H1" s="72" t="inlineStr">
        <is>
          <t>Tipo de Documento</t>
        </is>
      </c>
      <c r="I1" s="72" t="inlineStr">
        <is>
          <t>Área de origen del documento</t>
        </is>
      </c>
      <c r="J1" s="72" t="inlineStr">
        <is>
          <t>Fecha del documento</t>
        </is>
      </c>
      <c r="K1" s="72" t="inlineStr">
        <is>
          <t>Cantidad de Documentos</t>
        </is>
      </c>
      <c r="L1" s="72" t="inlineStr">
        <is>
          <t>Motivo de la solicitud</t>
        </is>
      </c>
      <c r="M1" s="72" t="inlineStr">
        <is>
          <t>Copiar a:</t>
        </is>
      </c>
      <c r="N1" s="72" t="inlineStr">
        <is>
          <t>Documento solicitado</t>
        </is>
      </c>
    </row>
    <row r="2" ht="144.75" customHeight="1">
      <c r="A2" s="63" t="n"/>
      <c r="B2" s="63" t="n"/>
      <c r="C2" s="64" t="n"/>
      <c r="D2" s="63" t="n"/>
      <c r="E2" s="63" t="n"/>
      <c r="F2" s="63" t="n"/>
      <c r="G2" s="63" t="n"/>
      <c r="H2" s="63" t="n"/>
      <c r="I2" s="63" t="n"/>
      <c r="J2" s="63" t="n"/>
      <c r="K2" s="63" t="n"/>
      <c r="L2" s="15" t="n"/>
      <c r="M2" s="63" t="n"/>
      <c r="N2" s="63" t="n"/>
    </row>
    <row r="3" ht="115.5" customHeight="1">
      <c r="A3" s="59" t="n"/>
      <c r="B3" s="59" t="n"/>
      <c r="C3" s="60" t="n"/>
      <c r="D3" s="59" t="n"/>
      <c r="E3" s="59" t="n"/>
      <c r="F3" s="59" t="n"/>
      <c r="G3" s="59" t="n"/>
      <c r="H3" s="59" t="n"/>
      <c r="I3" s="59" t="n"/>
      <c r="J3" s="61" t="n"/>
      <c r="K3" s="59" t="n"/>
      <c r="L3" s="62" t="n"/>
      <c r="M3" s="59" t="n"/>
      <c r="N3" s="59" t="n"/>
    </row>
    <row r="4" ht="57.75" customHeight="1">
      <c r="A4" s="63" t="n"/>
      <c r="B4" s="63" t="n"/>
      <c r="C4" s="64" t="n"/>
      <c r="D4" s="63" t="n"/>
      <c r="E4" s="63" t="n"/>
      <c r="F4" s="63" t="n"/>
      <c r="G4" s="63" t="n"/>
      <c r="H4" s="63" t="n"/>
      <c r="I4" s="63" t="n"/>
      <c r="J4" s="65" t="n"/>
      <c r="K4" s="63" t="n"/>
      <c r="L4" s="15" t="n"/>
      <c r="M4" s="63" t="n"/>
      <c r="N4" s="63" t="n"/>
    </row>
    <row r="5" ht="115.5" customHeight="1">
      <c r="A5" s="59" t="n"/>
      <c r="B5" s="59" t="n"/>
      <c r="C5" s="60" t="n"/>
      <c r="D5" s="59" t="n"/>
      <c r="E5" s="59" t="n"/>
      <c r="F5" s="59" t="n"/>
      <c r="G5" s="59" t="n"/>
      <c r="H5" s="59" t="n"/>
      <c r="I5" s="59" t="n"/>
      <c r="J5" s="59" t="n"/>
      <c r="K5" s="59" t="n"/>
      <c r="L5" s="62" t="n"/>
      <c r="M5" s="59" t="n"/>
      <c r="N5" s="59" t="n"/>
    </row>
    <row r="6" ht="115.5" customHeight="1">
      <c r="A6" s="63" t="n"/>
      <c r="B6" s="63" t="n"/>
      <c r="C6" s="64" t="n"/>
      <c r="D6" s="63" t="n"/>
      <c r="E6" s="63" t="n"/>
      <c r="F6" s="65" t="n"/>
      <c r="G6" s="63" t="n"/>
      <c r="H6" s="63" t="n"/>
      <c r="I6" s="63" t="n"/>
      <c r="J6" s="65" t="n"/>
      <c r="K6" s="63" t="n"/>
      <c r="L6" s="15" t="n"/>
      <c r="M6" s="63" t="n"/>
      <c r="N6" s="63" t="n"/>
    </row>
    <row r="7" ht="130.5" customHeight="1">
      <c r="A7" s="59" t="n"/>
      <c r="B7" s="59" t="n"/>
      <c r="C7" s="60" t="n"/>
      <c r="D7" s="59" t="n"/>
      <c r="E7" s="59" t="n"/>
      <c r="F7" s="59" t="n"/>
      <c r="G7" s="59" t="n"/>
      <c r="H7" s="59" t="n"/>
      <c r="I7" s="59" t="n"/>
      <c r="J7" s="59" t="n"/>
      <c r="K7" s="59" t="n"/>
      <c r="L7" s="62" t="n"/>
      <c r="M7" s="59" t="n"/>
      <c r="N7" s="59" t="n"/>
    </row>
    <row r="8" ht="87" customHeight="1">
      <c r="A8" s="63" t="n"/>
      <c r="B8" s="63" t="n"/>
      <c r="C8" s="64" t="n"/>
      <c r="D8" s="63" t="n"/>
      <c r="E8" s="63" t="n"/>
      <c r="F8" s="63" t="n"/>
      <c r="G8" s="63" t="n"/>
      <c r="H8" s="63" t="n"/>
      <c r="I8" s="63" t="n"/>
      <c r="J8" s="65" t="n"/>
      <c r="K8" s="63" t="n"/>
      <c r="L8" s="15" t="n"/>
      <c r="M8" s="63" t="n"/>
      <c r="N8" s="63" t="n"/>
    </row>
    <row r="9" ht="115.5" customHeight="1">
      <c r="A9" s="59" t="n"/>
      <c r="B9" s="59" t="n"/>
      <c r="C9" s="60" t="n"/>
      <c r="D9" s="59" t="n"/>
      <c r="E9" s="59" t="n"/>
      <c r="F9" s="59" t="n"/>
      <c r="G9" s="59" t="n"/>
      <c r="H9" s="59" t="n"/>
      <c r="I9" s="59" t="n"/>
      <c r="J9" s="61" t="n"/>
      <c r="K9" s="59" t="n"/>
      <c r="L9" s="62" t="n"/>
      <c r="M9" s="59" t="n"/>
      <c r="N9" s="59" t="n"/>
    </row>
    <row r="10" ht="87" customHeight="1">
      <c r="A10" s="63" t="n"/>
      <c r="B10" s="63" t="n"/>
      <c r="C10" s="64" t="n"/>
      <c r="D10" s="63" t="n"/>
      <c r="E10" s="63" t="n"/>
      <c r="F10" s="63" t="n"/>
      <c r="G10" s="63" t="n"/>
      <c r="H10" s="63" t="n"/>
      <c r="I10" s="63" t="n"/>
      <c r="J10" s="65" t="n"/>
      <c r="K10" s="63" t="n"/>
      <c r="L10" s="15" t="n"/>
      <c r="M10" s="63" t="n"/>
      <c r="N10" s="63" t="n"/>
    </row>
    <row r="11" ht="87" customHeight="1">
      <c r="A11" s="59" t="n"/>
      <c r="B11" s="59" t="n"/>
      <c r="C11" s="60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62" t="n"/>
      <c r="M11" s="59" t="n"/>
      <c r="N11" s="59" t="n"/>
    </row>
    <row r="12" ht="130.5" customHeight="1">
      <c r="A12" s="63" t="n"/>
      <c r="B12" s="63" t="n"/>
      <c r="C12" s="64" t="n"/>
      <c r="D12" s="63" t="n"/>
      <c r="E12" s="63" t="n"/>
      <c r="F12" s="63" t="n"/>
      <c r="G12" s="63" t="n"/>
      <c r="H12" s="63" t="n"/>
      <c r="I12" s="63" t="n"/>
      <c r="J12" s="65" t="n"/>
      <c r="K12" s="63" t="n"/>
      <c r="L12" s="15" t="n"/>
      <c r="M12" s="63" t="n"/>
      <c r="N12" s="63" t="n"/>
    </row>
    <row r="13" ht="43.5" customHeight="1">
      <c r="A13" s="59" t="n"/>
      <c r="B13" s="59" t="n"/>
      <c r="C13" s="60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62" t="n"/>
      <c r="M13" s="59" t="n"/>
      <c r="N13" s="59" t="n"/>
    </row>
    <row r="14" ht="72.75" customHeight="1">
      <c r="A14" s="63" t="n"/>
      <c r="B14" s="63" t="n"/>
      <c r="C14" s="64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15" t="n"/>
      <c r="M14" s="63" t="n"/>
      <c r="N14" s="63" t="n"/>
    </row>
    <row r="15" ht="87" customHeight="1">
      <c r="A15" s="59" t="n"/>
      <c r="B15" s="59" t="n"/>
      <c r="C15" s="60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62" t="n"/>
      <c r="M15" s="59" t="n"/>
      <c r="N15" s="17" t="n"/>
    </row>
    <row r="16" ht="43.5" customHeight="1">
      <c r="A16" s="63" t="n"/>
      <c r="B16" s="63" t="n"/>
      <c r="C16" s="64" t="n"/>
      <c r="D16" s="63" t="n"/>
      <c r="E16" s="63" t="n"/>
      <c r="F16" s="63" t="n"/>
      <c r="G16" s="63" t="n"/>
      <c r="H16" s="63" t="n"/>
      <c r="I16" s="63" t="n"/>
      <c r="J16" s="65" t="n"/>
      <c r="K16" s="63" t="n"/>
      <c r="L16" s="15" t="n"/>
      <c r="M16" s="63" t="n"/>
      <c r="N16" s="63" t="n"/>
    </row>
    <row r="17" ht="115.5" customHeight="1">
      <c r="A17" s="59" t="n"/>
      <c r="B17" s="59" t="n"/>
      <c r="C17" s="60" t="n"/>
      <c r="D17" s="59" t="n"/>
      <c r="E17" s="59" t="n"/>
      <c r="F17" s="59" t="n"/>
      <c r="G17" s="59" t="n"/>
      <c r="H17" s="59" t="n"/>
      <c r="I17" s="59" t="n"/>
      <c r="J17" s="61" t="n"/>
      <c r="K17" s="59" t="n"/>
      <c r="L17" s="62" t="n"/>
      <c r="M17" s="59" t="n"/>
      <c r="N17" s="17" t="n"/>
    </row>
    <row r="18" ht="101.25" customHeight="1">
      <c r="A18" s="63" t="n"/>
      <c r="B18" s="63" t="n"/>
      <c r="C18" s="64" t="n"/>
      <c r="D18" s="63" t="n"/>
      <c r="E18" s="63" t="n"/>
      <c r="F18" s="63" t="n"/>
      <c r="G18" s="63" t="n"/>
      <c r="H18" s="63" t="n"/>
      <c r="I18" s="63" t="n"/>
      <c r="J18" s="65" t="n"/>
      <c r="K18" s="63" t="n"/>
      <c r="L18" s="15" t="n"/>
      <c r="M18" s="63" t="n"/>
      <c r="N18" s="16" t="n"/>
    </row>
    <row r="19" ht="29.25" customHeight="1">
      <c r="A19" s="59" t="n"/>
      <c r="B19" s="59" t="n"/>
      <c r="C19" s="60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62" t="n"/>
      <c r="M19" s="59" t="n"/>
      <c r="N19" s="17" t="n"/>
    </row>
    <row r="20">
      <c r="A20" s="63" t="n"/>
      <c r="B20" s="63" t="n"/>
      <c r="C20" s="64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15" t="n"/>
      <c r="M20" s="63" t="n"/>
      <c r="N20" s="16" t="n"/>
    </row>
    <row r="21" ht="101.25" customHeight="1">
      <c r="A21" s="59" t="n"/>
      <c r="B21" s="59" t="n"/>
      <c r="C21" s="60" t="n"/>
      <c r="D21" s="59" t="n"/>
      <c r="E21" s="59" t="n"/>
      <c r="F21" s="59" t="n"/>
      <c r="G21" s="59" t="n"/>
      <c r="H21" s="59" t="n"/>
      <c r="I21" s="59" t="n"/>
      <c r="J21" s="61" t="n"/>
      <c r="K21" s="59" t="n"/>
      <c r="L21" s="62" t="n"/>
      <c r="M21" s="59" t="n"/>
      <c r="N21" s="17" t="n"/>
    </row>
    <row r="22" ht="57.75" customHeight="1">
      <c r="A22" s="63" t="n"/>
      <c r="B22" s="63" t="n"/>
      <c r="C22" s="64" t="n"/>
      <c r="D22" s="63" t="n"/>
      <c r="E22" s="63" t="n"/>
      <c r="F22" s="63" t="n"/>
      <c r="G22" s="63" t="n"/>
      <c r="H22" s="63" t="n"/>
      <c r="I22" s="63" t="n"/>
      <c r="J22" s="65" t="n"/>
      <c r="K22" s="63" t="n"/>
      <c r="L22" s="15" t="n"/>
      <c r="M22" s="63" t="n"/>
      <c r="N22" s="63" t="n"/>
    </row>
    <row r="23" ht="101.25" customHeight="1">
      <c r="A23" s="59" t="n"/>
      <c r="B23" s="59" t="n"/>
      <c r="C23" s="60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62" t="n"/>
      <c r="M23" s="59" t="n"/>
      <c r="N23" s="17" t="n"/>
    </row>
    <row r="24" ht="130.5" customHeight="1">
      <c r="A24" s="63" t="n"/>
      <c r="B24" s="63" t="n"/>
      <c r="C24" s="64" t="n"/>
      <c r="D24" s="63" t="n"/>
      <c r="E24" s="63" t="n"/>
      <c r="F24" s="63" t="n"/>
      <c r="G24" s="63" t="n"/>
      <c r="H24" s="63" t="n"/>
      <c r="I24" s="63" t="n"/>
      <c r="J24" s="65" t="n"/>
      <c r="K24" s="63" t="n"/>
      <c r="L24" s="15" t="n"/>
      <c r="M24" s="63" t="n"/>
      <c r="N24" s="16" t="n"/>
    </row>
    <row r="25" ht="101.25" customHeight="1">
      <c r="A25" s="59" t="n"/>
      <c r="B25" s="59" t="n"/>
      <c r="C25" s="60" t="n"/>
      <c r="D25" s="59" t="n"/>
      <c r="E25" s="59" t="n"/>
      <c r="F25" s="59" t="n"/>
      <c r="G25" s="59" t="n"/>
      <c r="H25" s="59" t="n"/>
      <c r="I25" s="59" t="n"/>
      <c r="J25" s="61" t="n"/>
      <c r="K25" s="59" t="n"/>
      <c r="L25" s="62" t="n"/>
      <c r="M25" s="59" t="n"/>
      <c r="N25" s="17" t="n"/>
    </row>
    <row r="26" ht="101.25" customHeight="1">
      <c r="A26" s="63" t="n"/>
      <c r="B26" s="63" t="n"/>
      <c r="C26" s="64" t="n"/>
      <c r="D26" s="63" t="n"/>
      <c r="E26" s="63" t="n"/>
      <c r="F26" s="63" t="n"/>
      <c r="G26" s="63" t="n"/>
      <c r="H26" s="63" t="n"/>
      <c r="I26" s="63" t="n"/>
      <c r="J26" s="65" t="n"/>
      <c r="K26" s="63" t="n"/>
      <c r="L26" s="15" t="n"/>
      <c r="M26" s="63" t="n"/>
      <c r="N26" s="16" t="n"/>
    </row>
    <row r="27" ht="409.6" customHeight="1">
      <c r="A27" s="59" t="n"/>
      <c r="B27" s="59" t="n"/>
      <c r="C27" s="60" t="n"/>
      <c r="D27" s="59" t="n"/>
      <c r="E27" s="59" t="n"/>
      <c r="F27" s="59" t="n"/>
      <c r="G27" s="59" t="n"/>
      <c r="H27" s="59" t="n"/>
      <c r="I27" s="59" t="n"/>
      <c r="J27" s="61" t="n"/>
      <c r="K27" s="59" t="n"/>
      <c r="L27" s="62" t="n"/>
      <c r="M27" s="59" t="n"/>
      <c r="N27" s="17" t="n"/>
    </row>
    <row r="28" ht="87" customHeight="1">
      <c r="A28" s="63" t="n"/>
      <c r="B28" s="63" t="n"/>
      <c r="C28" s="64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15" t="n"/>
      <c r="M28" s="63" t="n"/>
      <c r="N28" s="16" t="n"/>
    </row>
    <row r="29" ht="57.75" customHeight="1">
      <c r="A29" s="59" t="n"/>
      <c r="B29" s="59" t="n"/>
      <c r="C29" s="60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62" t="n"/>
      <c r="M29" s="59" t="n"/>
      <c r="N29" s="17" t="n"/>
    </row>
    <row r="30" ht="72.75" customHeight="1">
      <c r="A30" s="63" t="n"/>
      <c r="B30" s="63" t="n"/>
      <c r="C30" s="64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15" t="n"/>
      <c r="M30" s="63" t="n"/>
      <c r="N30" s="16" t="n"/>
    </row>
    <row r="31" ht="57.75" customHeight="1">
      <c r="A31" s="59" t="n"/>
      <c r="B31" s="59" t="n"/>
      <c r="C31" s="60" t="n"/>
      <c r="D31" s="59" t="n"/>
      <c r="E31" s="59" t="n"/>
      <c r="F31" s="59" t="n"/>
      <c r="G31" s="59" t="n"/>
      <c r="H31" s="59" t="n"/>
      <c r="I31" s="59" t="n"/>
      <c r="J31" s="61" t="n"/>
      <c r="K31" s="59" t="n"/>
      <c r="L31" s="62" t="n"/>
      <c r="M31" s="59" t="n"/>
      <c r="N31" s="17" t="n"/>
    </row>
    <row r="32" ht="43.5" customHeight="1">
      <c r="A32" s="63" t="n"/>
      <c r="B32" s="63" t="n"/>
      <c r="C32" s="64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15" t="n"/>
      <c r="M32" s="63" t="n"/>
      <c r="N32" s="16" t="n"/>
    </row>
    <row r="33" ht="115.5" customHeight="1">
      <c r="A33" s="59" t="n"/>
      <c r="B33" s="59" t="n"/>
      <c r="C33" s="60" t="n"/>
      <c r="D33" s="59" t="n"/>
      <c r="E33" s="59" t="n"/>
      <c r="F33" s="59" t="n"/>
      <c r="G33" s="59" t="n"/>
      <c r="H33" s="59" t="n"/>
      <c r="I33" s="59" t="n"/>
      <c r="J33" s="61" t="n"/>
      <c r="K33" s="59" t="n"/>
      <c r="L33" s="62" t="n"/>
      <c r="M33" s="59" t="n"/>
      <c r="N33" s="59" t="n"/>
    </row>
    <row r="34" ht="115.5" customHeight="1">
      <c r="A34" s="63" t="n"/>
      <c r="B34" s="63" t="n"/>
      <c r="C34" s="64" t="n"/>
      <c r="D34" s="63" t="n"/>
      <c r="E34" s="63" t="n"/>
      <c r="F34" s="63" t="n"/>
      <c r="G34" s="63" t="n"/>
      <c r="H34" s="63" t="n"/>
      <c r="I34" s="63" t="n"/>
      <c r="J34" s="65" t="n"/>
      <c r="K34" s="63" t="n"/>
      <c r="L34" s="15" t="n"/>
      <c r="M34" s="63" t="n"/>
      <c r="N34" s="16" t="n"/>
    </row>
    <row r="35" ht="29.25" customHeight="1">
      <c r="A35" s="59" t="n"/>
      <c r="B35" s="59" t="n"/>
      <c r="C35" s="60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62" t="n"/>
      <c r="M35" s="59" t="n"/>
      <c r="N35" s="17" t="n"/>
    </row>
    <row r="36" ht="29.25" customHeight="1">
      <c r="A36" s="63" t="n"/>
      <c r="B36" s="63" t="n"/>
      <c r="C36" s="64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15" t="n"/>
      <c r="M36" s="63" t="n"/>
      <c r="N36" s="16" t="n"/>
    </row>
    <row r="37" ht="87" customHeight="1">
      <c r="A37" s="59" t="n"/>
      <c r="B37" s="59" t="n"/>
      <c r="C37" s="60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62" t="n"/>
      <c r="M37" s="59" t="n"/>
      <c r="N37" s="17" t="n"/>
    </row>
    <row r="38" ht="87" customHeight="1">
      <c r="A38" s="63" t="n"/>
      <c r="B38" s="63" t="n"/>
      <c r="C38" s="64" t="n"/>
      <c r="D38" s="63" t="n"/>
      <c r="E38" s="63" t="n"/>
      <c r="F38" s="63" t="n"/>
      <c r="G38" s="63" t="n"/>
      <c r="H38" s="63" t="n"/>
      <c r="I38" s="63" t="n"/>
      <c r="J38" s="65" t="n"/>
      <c r="K38" s="63" t="n"/>
      <c r="L38" s="15" t="n"/>
      <c r="M38" s="63" t="n"/>
      <c r="N38" s="16" t="n"/>
    </row>
    <row r="39" ht="43.5" customHeight="1">
      <c r="A39" s="59" t="n"/>
      <c r="B39" s="59" t="n"/>
      <c r="C39" s="60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62" t="n"/>
      <c r="M39" s="59" t="n"/>
      <c r="N39" s="17" t="n"/>
    </row>
    <row r="40" ht="29.25" customHeight="1">
      <c r="A40" s="63" t="n"/>
      <c r="B40" s="63" t="n"/>
      <c r="C40" s="64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15" t="n"/>
      <c r="M40" s="63" t="n"/>
      <c r="N40" s="63" t="n"/>
    </row>
    <row r="41" ht="43.5" customHeight="1">
      <c r="A41" s="59" t="n"/>
      <c r="B41" s="59" t="n"/>
      <c r="C41" s="60" t="n"/>
      <c r="D41" s="59" t="n"/>
      <c r="E41" s="59" t="n"/>
      <c r="F41" s="59" t="n"/>
      <c r="G41" s="59" t="n"/>
      <c r="H41" s="59" t="n"/>
      <c r="I41" s="59" t="n"/>
      <c r="J41" s="61" t="n"/>
      <c r="K41" s="59" t="n"/>
      <c r="L41" s="62" t="n"/>
      <c r="M41" s="59" t="n"/>
      <c r="N41" s="59" t="n"/>
    </row>
    <row r="42" ht="101.25" customHeight="1">
      <c r="A42" s="63" t="n"/>
      <c r="B42" s="63" t="n"/>
      <c r="C42" s="64" t="n"/>
      <c r="D42" s="63" t="n"/>
      <c r="E42" s="63" t="n"/>
      <c r="F42" s="63" t="n"/>
      <c r="G42" s="63" t="n"/>
      <c r="H42" s="63" t="n"/>
      <c r="I42" s="63" t="n"/>
      <c r="J42" s="65" t="n"/>
      <c r="K42" s="63" t="n"/>
      <c r="L42" s="15" t="n"/>
      <c r="M42" s="63" t="n"/>
      <c r="N42" s="16" t="n"/>
    </row>
    <row r="43" ht="87" customHeight="1">
      <c r="A43" s="59" t="n"/>
      <c r="B43" s="59" t="n"/>
      <c r="C43" s="60" t="n"/>
      <c r="D43" s="59" t="n"/>
      <c r="E43" s="59" t="n"/>
      <c r="F43" s="59" t="n"/>
      <c r="G43" s="59" t="n"/>
      <c r="H43" s="59" t="n"/>
      <c r="I43" s="59" t="n"/>
      <c r="J43" s="61" t="n"/>
      <c r="K43" s="59" t="n"/>
      <c r="L43" s="62" t="n"/>
      <c r="M43" s="59" t="n"/>
      <c r="N43" s="17" t="n"/>
    </row>
    <row r="44" ht="57.75" customHeight="1">
      <c r="A44" s="63" t="n"/>
      <c r="B44" s="63" t="n"/>
      <c r="C44" s="64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15" t="n"/>
      <c r="M44" s="63" t="n"/>
      <c r="N44" s="16" t="n"/>
    </row>
    <row r="45" ht="29.25" customHeight="1">
      <c r="A45" s="59" t="n"/>
      <c r="B45" s="59" t="n"/>
      <c r="C45" s="60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62" t="n"/>
      <c r="M45" s="59" t="n"/>
      <c r="N45" s="17" t="n"/>
    </row>
    <row r="46" ht="101.25" customHeight="1">
      <c r="A46" s="63" t="n"/>
      <c r="B46" s="63" t="n"/>
      <c r="C46" s="64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15" t="n"/>
      <c r="M46" s="63" t="n"/>
      <c r="N46" s="16" t="n"/>
    </row>
    <row r="47" ht="101.25" customHeight="1">
      <c r="A47" s="59" t="n"/>
      <c r="B47" s="59" t="n"/>
      <c r="C47" s="60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62" t="n"/>
      <c r="M47" s="59" t="n"/>
      <c r="N47" s="17" t="n"/>
    </row>
    <row r="48" ht="144.75" customHeight="1">
      <c r="A48" s="63" t="n"/>
      <c r="B48" s="63" t="n"/>
      <c r="C48" s="64" t="n"/>
      <c r="D48" s="63" t="n"/>
      <c r="E48" s="63" t="n"/>
      <c r="F48" s="63" t="n"/>
      <c r="G48" s="63" t="n"/>
      <c r="H48" s="63" t="n"/>
      <c r="I48" s="63" t="n"/>
      <c r="J48" s="65" t="n"/>
      <c r="K48" s="63" t="n"/>
      <c r="L48" s="15" t="n"/>
      <c r="M48" s="63" t="n"/>
      <c r="N48" s="16" t="n"/>
    </row>
    <row r="49">
      <c r="A49" s="59" t="n"/>
      <c r="B49" s="59" t="n"/>
      <c r="C49" s="60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62" t="n"/>
      <c r="M49" s="59" t="n"/>
      <c r="N49" s="17" t="n"/>
    </row>
    <row r="50" ht="101.25" customHeight="1">
      <c r="A50" s="63" t="n"/>
      <c r="B50" s="63" t="n"/>
      <c r="C50" s="64" t="n"/>
      <c r="D50" s="63" t="n"/>
      <c r="E50" s="63" t="n"/>
      <c r="F50" s="63" t="n"/>
      <c r="G50" s="63" t="n"/>
      <c r="H50" s="63" t="n"/>
      <c r="I50" s="63" t="n"/>
      <c r="J50" s="65" t="n"/>
      <c r="K50" s="63" t="n"/>
      <c r="L50" s="15" t="n"/>
      <c r="M50" s="63" t="n"/>
      <c r="N50" s="16" t="n"/>
    </row>
    <row r="51" ht="87" customHeight="1">
      <c r="A51" s="59" t="n"/>
      <c r="B51" s="59" t="n"/>
      <c r="C51" s="60" t="n"/>
      <c r="D51" s="59" t="n"/>
      <c r="E51" s="59" t="n"/>
      <c r="F51" s="59" t="n"/>
      <c r="G51" s="59" t="n"/>
      <c r="H51" s="59" t="n"/>
      <c r="I51" s="59" t="n"/>
      <c r="J51" s="61" t="n"/>
      <c r="K51" s="59" t="n"/>
      <c r="L51" s="62" t="n"/>
      <c r="M51" s="59" t="n"/>
      <c r="N51" s="17" t="n"/>
    </row>
    <row r="52" ht="201.75" customHeight="1">
      <c r="A52" s="63" t="n"/>
      <c r="B52" s="63" t="n"/>
      <c r="C52" s="64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15" t="n"/>
      <c r="M52" s="63" t="n"/>
      <c r="N52" s="16" t="n"/>
    </row>
    <row r="53" ht="87" customHeight="1">
      <c r="A53" s="59" t="n"/>
      <c r="B53" s="59" t="n"/>
      <c r="C53" s="60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62" t="n"/>
      <c r="M53" s="59" t="n"/>
      <c r="N53" s="17" t="n"/>
    </row>
    <row r="54" ht="87" customHeight="1">
      <c r="A54" s="63" t="n"/>
      <c r="B54" s="63" t="n"/>
      <c r="C54" s="64" t="n"/>
      <c r="D54" s="63" t="n"/>
      <c r="E54" s="63" t="n"/>
      <c r="F54" s="63" t="n"/>
      <c r="G54" s="63" t="n"/>
      <c r="H54" s="63" t="n"/>
      <c r="I54" s="63" t="n"/>
      <c r="J54" s="65" t="n"/>
      <c r="K54" s="63" t="n"/>
      <c r="L54" s="15" t="n"/>
      <c r="M54" s="63" t="n"/>
      <c r="N54" s="16" t="n"/>
    </row>
    <row r="55" ht="72.75" customHeight="1">
      <c r="A55" s="59" t="n"/>
      <c r="B55" s="59" t="n"/>
      <c r="C55" s="60" t="n"/>
      <c r="D55" s="59" t="n"/>
      <c r="E55" s="59" t="n"/>
      <c r="F55" s="59" t="n"/>
      <c r="G55" s="59" t="n"/>
      <c r="H55" s="59" t="n"/>
      <c r="I55" s="59" t="n"/>
      <c r="J55" s="61" t="n"/>
      <c r="K55" s="59" t="n"/>
      <c r="L55" s="62" t="n"/>
      <c r="M55" s="59" t="n"/>
      <c r="N55" s="17" t="n"/>
    </row>
    <row r="56" ht="115.5" customHeight="1">
      <c r="A56" s="63" t="n"/>
      <c r="B56" s="63" t="n"/>
      <c r="C56" s="64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15" t="n"/>
      <c r="M56" s="63" t="n"/>
      <c r="N56" s="16" t="n"/>
    </row>
    <row r="57" ht="43.5" customHeight="1">
      <c r="A57" s="59" t="n"/>
      <c r="B57" s="59" t="n"/>
      <c r="C57" s="60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62" t="n"/>
      <c r="M57" s="59" t="n"/>
      <c r="N57" s="17" t="n"/>
    </row>
    <row r="58" ht="57.75" customHeight="1">
      <c r="A58" s="63" t="n"/>
      <c r="B58" s="63" t="n"/>
      <c r="C58" s="64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15" t="n"/>
      <c r="M58" s="63" t="n"/>
      <c r="N58" s="16" t="n"/>
    </row>
    <row r="59" ht="87" customHeight="1">
      <c r="A59" s="59" t="n"/>
      <c r="B59" s="59" t="n"/>
      <c r="C59" s="60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62" t="n"/>
      <c r="M59" s="59" t="n"/>
      <c r="N59" s="17" t="n"/>
    </row>
    <row r="60" ht="57.75" customHeight="1">
      <c r="A60" s="63" t="n"/>
      <c r="B60" s="63" t="n"/>
      <c r="C60" s="64" t="n"/>
      <c r="D60" s="63" t="n"/>
      <c r="E60" s="63" t="n"/>
      <c r="F60" s="63" t="n"/>
      <c r="G60" s="63" t="n"/>
      <c r="H60" s="63" t="n"/>
      <c r="I60" s="63" t="n"/>
      <c r="J60" s="63" t="n"/>
      <c r="K60" s="63" t="n"/>
      <c r="L60" s="15" t="n"/>
      <c r="M60" s="63" t="n"/>
      <c r="N60" s="16" t="n"/>
    </row>
    <row r="61" ht="101.25" customHeight="1">
      <c r="A61" s="59" t="n"/>
      <c r="B61" s="59" t="n"/>
      <c r="C61" s="60" t="n"/>
      <c r="D61" s="59" t="n"/>
      <c r="E61" s="59" t="n"/>
      <c r="F61" s="59" t="n"/>
      <c r="G61" s="59" t="n"/>
      <c r="H61" s="59" t="n"/>
      <c r="I61" s="59" t="n"/>
      <c r="J61" s="61" t="n"/>
      <c r="K61" s="59" t="n"/>
      <c r="L61" s="62" t="n"/>
      <c r="M61" s="59" t="n"/>
      <c r="N61" s="17" t="n"/>
    </row>
    <row r="62" ht="29.25" customHeight="1">
      <c r="A62" s="63" t="n"/>
      <c r="B62" s="63" t="n"/>
      <c r="C62" s="64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15" t="n"/>
      <c r="M62" s="63" t="n"/>
      <c r="N62" s="16" t="n"/>
    </row>
    <row r="63" ht="43.5" customHeight="1">
      <c r="A63" s="59" t="n"/>
      <c r="B63" s="59" t="n"/>
      <c r="C63" s="60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62" t="n"/>
      <c r="M63" s="59" t="n"/>
      <c r="N63" s="59" t="n"/>
    </row>
    <row r="64" ht="29.25" customHeight="1">
      <c r="A64" s="63" t="n"/>
      <c r="B64" s="63" t="n"/>
      <c r="C64" s="64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15" t="n"/>
      <c r="M64" s="63" t="n"/>
      <c r="N64" s="16" t="n"/>
    </row>
    <row r="65">
      <c r="A65" s="59" t="n"/>
      <c r="B65" s="59" t="n"/>
      <c r="C65" s="60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62" t="n"/>
      <c r="M65" s="59" t="n"/>
      <c r="N65" s="17" t="n"/>
    </row>
    <row r="66" ht="159" customHeight="1">
      <c r="A66" s="63" t="n"/>
      <c r="B66" s="63" t="n"/>
      <c r="C66" s="64" t="n"/>
      <c r="D66" s="63" t="n"/>
      <c r="E66" s="63" t="n"/>
      <c r="F66" s="63" t="n"/>
      <c r="G66" s="63" t="n"/>
      <c r="H66" s="63" t="n"/>
      <c r="I66" s="63" t="n"/>
      <c r="J66" s="65" t="n"/>
      <c r="K66" s="63" t="n"/>
      <c r="L66" s="15" t="n"/>
      <c r="M66" s="63" t="n"/>
      <c r="N66" s="16" t="n"/>
    </row>
    <row r="67" ht="101.25" customHeight="1">
      <c r="A67" s="59" t="n"/>
      <c r="B67" s="59" t="n"/>
      <c r="C67" s="60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62" t="n"/>
      <c r="M67" s="59" t="n"/>
      <c r="N67" s="17" t="n"/>
    </row>
    <row r="68" ht="87" customHeight="1">
      <c r="A68" s="63" t="n"/>
      <c r="B68" s="63" t="n"/>
      <c r="C68" s="64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15" t="n"/>
      <c r="M68" s="63" t="n"/>
      <c r="N68" s="63" t="n"/>
    </row>
    <row r="69" ht="130.5" customHeight="1">
      <c r="A69" s="59" t="n"/>
      <c r="B69" s="59" t="n"/>
      <c r="C69" s="60" t="n"/>
      <c r="D69" s="59" t="n"/>
      <c r="E69" s="59" t="n"/>
      <c r="F69" s="59" t="n"/>
      <c r="G69" s="59" t="n"/>
      <c r="H69" s="59" t="n"/>
      <c r="I69" s="59" t="n"/>
      <c r="J69" s="61" t="n"/>
      <c r="K69" s="59" t="n"/>
      <c r="L69" s="62" t="n"/>
      <c r="M69" s="59" t="n"/>
      <c r="N69" s="17" t="n"/>
    </row>
    <row r="70" ht="72.75" customHeight="1">
      <c r="A70" s="63" t="n"/>
      <c r="B70" s="63" t="n"/>
      <c r="C70" s="64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15" t="n"/>
      <c r="M70" s="63" t="n"/>
      <c r="N70" s="16" t="n"/>
    </row>
    <row r="71" ht="29.25" customHeight="1">
      <c r="A71" s="59" t="n"/>
      <c r="B71" s="59" t="n"/>
      <c r="C71" s="60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62" t="n"/>
      <c r="M71" s="59" t="n"/>
      <c r="N71" s="17" t="n"/>
    </row>
    <row r="72" ht="72.75" customHeight="1">
      <c r="A72" s="63" t="n"/>
      <c r="B72" s="63" t="n"/>
      <c r="C72" s="64" t="n"/>
      <c r="D72" s="63" t="n"/>
      <c r="E72" s="63" t="n"/>
      <c r="F72" s="63" t="n"/>
      <c r="G72" s="63" t="n"/>
      <c r="H72" s="63" t="n"/>
      <c r="I72" s="63" t="n"/>
      <c r="J72" s="65" t="n"/>
      <c r="K72" s="63" t="n"/>
      <c r="L72" s="15" t="n"/>
      <c r="M72" s="63" t="n"/>
      <c r="N72" s="16" t="n"/>
    </row>
    <row r="73" ht="87" customHeight="1">
      <c r="A73" s="59" t="n"/>
      <c r="B73" s="59" t="n"/>
      <c r="C73" s="60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62" t="n"/>
      <c r="M73" s="59" t="n"/>
      <c r="N73" s="17" t="n"/>
    </row>
    <row r="74" ht="115.5" customHeight="1">
      <c r="A74" s="63" t="n"/>
      <c r="B74" s="63" t="n"/>
      <c r="C74" s="64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15" t="n"/>
      <c r="M74" s="63" t="n"/>
      <c r="N74" s="63" t="n"/>
    </row>
    <row r="75" ht="87" customHeight="1">
      <c r="A75" s="59" t="n"/>
      <c r="B75" s="59" t="n"/>
      <c r="C75" s="60" t="n"/>
      <c r="D75" s="59" t="n"/>
      <c r="E75" s="59" t="n"/>
      <c r="F75" s="59" t="n"/>
      <c r="G75" s="59" t="n"/>
      <c r="H75" s="59" t="n"/>
      <c r="I75" s="59" t="n"/>
      <c r="J75" s="61" t="n"/>
      <c r="K75" s="59" t="n"/>
      <c r="L75" s="62" t="n"/>
      <c r="M75" s="59" t="n"/>
      <c r="N75" s="59" t="n"/>
    </row>
    <row r="76" ht="144.75" customHeight="1">
      <c r="A76" s="63" t="n"/>
      <c r="B76" s="63" t="n"/>
      <c r="C76" s="64" t="n"/>
      <c r="D76" s="63" t="n"/>
      <c r="E76" s="63" t="n"/>
      <c r="F76" s="63" t="n"/>
      <c r="G76" s="63" t="n"/>
      <c r="H76" s="63" t="n"/>
      <c r="I76" s="63" t="n"/>
      <c r="J76" s="65" t="n"/>
      <c r="K76" s="63" t="n"/>
      <c r="L76" s="15" t="n"/>
      <c r="M76" s="63" t="n"/>
      <c r="N76" s="63" t="n"/>
    </row>
    <row r="77" ht="57.75" customHeight="1">
      <c r="A77" s="59" t="n"/>
      <c r="B77" s="59" t="n"/>
      <c r="C77" s="60" t="n"/>
      <c r="D77" s="59" t="n"/>
      <c r="E77" s="59" t="n"/>
      <c r="F77" s="59" t="n"/>
      <c r="G77" s="59" t="n"/>
      <c r="H77" s="59" t="n"/>
      <c r="I77" s="59" t="n"/>
      <c r="J77" s="61" t="n"/>
      <c r="K77" s="59" t="n"/>
      <c r="L77" s="62" t="n"/>
      <c r="M77" s="59" t="n"/>
      <c r="N77" s="59" t="n"/>
    </row>
    <row r="78" ht="29.25" customHeight="1">
      <c r="A78" s="63" t="n"/>
      <c r="B78" s="63" t="n"/>
      <c r="C78" s="64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15" t="n"/>
      <c r="M78" s="63" t="n"/>
      <c r="N78" s="16" t="n"/>
    </row>
    <row r="79" ht="115.5" customHeight="1">
      <c r="A79" s="59" t="n"/>
      <c r="B79" s="59" t="n"/>
      <c r="C79" s="60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62" t="n"/>
      <c r="M79" s="59" t="n"/>
      <c r="N79" s="17" t="n"/>
    </row>
    <row r="80">
      <c r="A80" s="63" t="n"/>
      <c r="B80" s="63" t="n"/>
      <c r="C80" s="64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15" t="n"/>
      <c r="M80" s="63" t="n"/>
      <c r="N80" s="16" t="n"/>
    </row>
    <row r="81" ht="43.5" customHeight="1">
      <c r="A81" s="59" t="n"/>
      <c r="B81" s="59" t="n"/>
      <c r="C81" s="60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62" t="n"/>
      <c r="M81" s="59" t="n"/>
      <c r="N81" s="59" t="n"/>
    </row>
    <row r="82" ht="29.25" customHeight="1">
      <c r="A82" s="63" t="n"/>
      <c r="B82" s="63" t="n"/>
      <c r="C82" s="64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15" t="n"/>
      <c r="M82" s="63" t="n"/>
      <c r="N82" s="16" t="n"/>
    </row>
    <row r="83" ht="130.5" customHeight="1">
      <c r="A83" s="59" t="n"/>
      <c r="B83" s="59" t="n"/>
      <c r="C83" s="60" t="n"/>
      <c r="D83" s="59" t="n"/>
      <c r="E83" s="59" t="n"/>
      <c r="F83" s="59" t="n"/>
      <c r="G83" s="59" t="n"/>
      <c r="H83" s="59" t="n"/>
      <c r="I83" s="59" t="n"/>
      <c r="J83" s="61" t="n"/>
      <c r="K83" s="59" t="n"/>
      <c r="L83" s="62" t="n"/>
      <c r="M83" s="59" t="n"/>
      <c r="N83" s="59" t="n"/>
    </row>
    <row r="84" ht="43.5" customHeight="1">
      <c r="A84" s="63" t="n"/>
      <c r="B84" s="63" t="n"/>
      <c r="C84" s="64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15" t="n"/>
      <c r="M84" s="63" t="n"/>
      <c r="N84" s="16" t="n"/>
    </row>
    <row r="85" ht="43.5" customHeight="1">
      <c r="A85" s="59" t="n"/>
      <c r="B85" s="59" t="n"/>
      <c r="C85" s="60" t="n"/>
      <c r="D85" s="59" t="n"/>
      <c r="E85" s="59" t="n"/>
      <c r="F85" s="59" t="n"/>
      <c r="G85" s="59" t="n"/>
      <c r="H85" s="59" t="n"/>
      <c r="I85" s="59" t="n"/>
      <c r="J85" s="61" t="n"/>
      <c r="K85" s="59" t="n"/>
      <c r="L85" s="62" t="n"/>
      <c r="M85" s="59" t="n"/>
      <c r="N85" s="17" t="n"/>
    </row>
    <row r="86" ht="72.75" customHeight="1">
      <c r="A86" s="63" t="n"/>
      <c r="B86" s="63" t="n"/>
      <c r="C86" s="64" t="n"/>
      <c r="D86" s="63" t="n"/>
      <c r="E86" s="63" t="n"/>
      <c r="F86" s="63" t="n"/>
      <c r="G86" s="63" t="n"/>
      <c r="H86" s="63" t="n"/>
      <c r="I86" s="63" t="n"/>
      <c r="J86" s="65" t="n"/>
      <c r="K86" s="63" t="n"/>
      <c r="L86" s="15" t="n"/>
      <c r="M86" s="63" t="n"/>
      <c r="N86" s="63" t="n"/>
    </row>
    <row r="87" ht="216.75" customHeight="1">
      <c r="A87" s="59" t="n"/>
      <c r="B87" s="59" t="n"/>
      <c r="C87" s="60" t="n"/>
      <c r="D87" s="59" t="n"/>
      <c r="E87" s="59" t="n"/>
      <c r="F87" s="59" t="n"/>
      <c r="G87" s="59" t="n"/>
      <c r="H87" s="59" t="n"/>
      <c r="I87" s="59" t="n"/>
      <c r="J87" s="61" t="n"/>
      <c r="K87" s="59" t="n"/>
      <c r="L87" s="62" t="n"/>
      <c r="M87" s="59" t="n"/>
      <c r="N87" s="17" t="n"/>
    </row>
    <row r="88" ht="115.5" customHeight="1">
      <c r="A88" s="63" t="n"/>
      <c r="B88" s="63" t="n"/>
      <c r="C88" s="64" t="n"/>
      <c r="D88" s="63" t="n"/>
      <c r="E88" s="63" t="n"/>
      <c r="F88" s="63" t="n"/>
      <c r="G88" s="63" t="n"/>
      <c r="H88" s="63" t="n"/>
      <c r="I88" s="63" t="n"/>
      <c r="J88" s="65" t="n"/>
      <c r="K88" s="63" t="n"/>
      <c r="L88" s="15" t="n"/>
      <c r="M88" s="63" t="n"/>
      <c r="N88" s="16" t="n"/>
    </row>
    <row r="89" ht="159" customHeight="1">
      <c r="A89" s="59" t="n"/>
      <c r="B89" s="59" t="n"/>
      <c r="C89" s="60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62" t="n"/>
      <c r="M89" s="59" t="n"/>
      <c r="N89" s="59" t="n"/>
    </row>
    <row r="90" ht="72.75" customHeight="1">
      <c r="A90" s="63" t="n"/>
      <c r="B90" s="63" t="n"/>
      <c r="C90" s="64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15" t="n"/>
      <c r="M90" s="63" t="n"/>
      <c r="N90" s="16" t="n"/>
    </row>
    <row r="91" ht="101.25" customHeight="1">
      <c r="A91" s="59" t="n"/>
      <c r="B91" s="59" t="n"/>
      <c r="C91" s="60" t="n"/>
      <c r="D91" s="59" t="n"/>
      <c r="E91" s="59" t="n"/>
      <c r="F91" s="59" t="n"/>
      <c r="G91" s="59" t="n"/>
      <c r="H91" s="59" t="n"/>
      <c r="I91" s="59" t="n"/>
      <c r="J91" s="61" t="n"/>
      <c r="K91" s="59" t="n"/>
      <c r="L91" s="62" t="n"/>
      <c r="M91" s="59" t="n"/>
      <c r="N91" s="59" t="n"/>
    </row>
    <row r="92" ht="101.25" customHeight="1">
      <c r="A92" s="63" t="n"/>
      <c r="B92" s="63" t="n"/>
      <c r="C92" s="64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15" t="n"/>
      <c r="M92" s="63" t="n"/>
      <c r="N92" s="16" t="n"/>
    </row>
    <row r="93" ht="101.25" customHeight="1">
      <c r="A93" s="59" t="n"/>
      <c r="B93" s="59" t="n"/>
      <c r="C93" s="60" t="n"/>
      <c r="D93" s="59" t="n"/>
      <c r="E93" s="59" t="n"/>
      <c r="F93" s="59" t="n"/>
      <c r="G93" s="59" t="n"/>
      <c r="H93" s="59" t="n"/>
      <c r="I93" s="59" t="n"/>
      <c r="J93" s="61" t="n"/>
      <c r="K93" s="59" t="n"/>
      <c r="L93" s="62" t="n"/>
      <c r="M93" s="59" t="n"/>
      <c r="N93" s="17" t="n"/>
    </row>
    <row r="94">
      <c r="A94" s="63" t="n"/>
      <c r="B94" s="63" t="n"/>
      <c r="C94" s="64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15" t="n"/>
      <c r="M94" s="63" t="n"/>
      <c r="N94" s="16" t="n"/>
    </row>
    <row r="95" ht="101.25" customHeight="1">
      <c r="A95" s="59" t="n"/>
      <c r="B95" s="59" t="n"/>
      <c r="C95" s="60" t="n"/>
      <c r="D95" s="59" t="n"/>
      <c r="E95" s="59" t="n"/>
      <c r="F95" s="59" t="n"/>
      <c r="G95" s="59" t="n"/>
      <c r="H95" s="59" t="n"/>
      <c r="I95" s="59" t="n"/>
      <c r="J95" s="61" t="n"/>
      <c r="K95" s="59" t="n"/>
      <c r="L95" s="62" t="n"/>
      <c r="M95" s="59" t="n"/>
      <c r="N95" s="17" t="n"/>
    </row>
    <row r="96" ht="87" customHeight="1">
      <c r="A96" s="63" t="n"/>
      <c r="B96" s="63" t="n"/>
      <c r="C96" s="64" t="n"/>
      <c r="D96" s="63" t="n"/>
      <c r="E96" s="63" t="n"/>
      <c r="F96" s="63" t="n"/>
      <c r="G96" s="63" t="n"/>
      <c r="H96" s="63" t="n"/>
      <c r="I96" s="63" t="n"/>
      <c r="J96" s="65" t="n"/>
      <c r="K96" s="63" t="n"/>
      <c r="L96" s="15" t="n"/>
      <c r="M96" s="63" t="n"/>
      <c r="N96" s="16" t="n"/>
    </row>
    <row r="97" ht="29.25" customHeight="1">
      <c r="A97" s="59" t="n"/>
      <c r="B97" s="59" t="n"/>
      <c r="C97" s="60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62" t="n"/>
      <c r="M97" s="59" t="n"/>
      <c r="N97" s="59" t="n"/>
    </row>
    <row r="98" ht="43.5" customHeight="1">
      <c r="A98" s="63" t="n"/>
      <c r="B98" s="63" t="n"/>
      <c r="C98" s="64" t="n"/>
      <c r="D98" s="63" t="n"/>
      <c r="E98" s="63" t="n"/>
      <c r="F98" s="63" t="n"/>
      <c r="G98" s="63" t="n"/>
      <c r="H98" s="63" t="n"/>
      <c r="I98" s="63" t="n"/>
      <c r="J98" s="65" t="n"/>
      <c r="K98" s="63" t="n"/>
      <c r="L98" s="15" t="n"/>
      <c r="M98" s="63" t="n"/>
      <c r="N98" s="16" t="n"/>
    </row>
    <row r="99" ht="245.25" customHeight="1">
      <c r="A99" s="59" t="n"/>
      <c r="B99" s="59" t="n"/>
      <c r="C99" s="60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62" t="n"/>
      <c r="M99" s="59" t="n"/>
      <c r="N99" s="59" t="n"/>
    </row>
    <row r="100" ht="29.25" customHeight="1">
      <c r="A100" s="63" t="n"/>
      <c r="B100" s="63" t="n"/>
      <c r="C100" s="64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15" t="n"/>
      <c r="M100" s="63" t="n"/>
      <c r="N100" s="16" t="n"/>
    </row>
    <row r="101" ht="159" customHeight="1">
      <c r="A101" s="59" t="n"/>
      <c r="B101" s="59" t="n"/>
      <c r="C101" s="60" t="n"/>
      <c r="D101" s="59" t="n"/>
      <c r="E101" s="59" t="n"/>
      <c r="F101" s="59" t="n"/>
      <c r="G101" s="59" t="n"/>
      <c r="H101" s="59" t="n"/>
      <c r="I101" s="59" t="n"/>
      <c r="J101" s="61" t="n"/>
      <c r="K101" s="59" t="n"/>
      <c r="L101" s="62" t="n"/>
      <c r="M101" s="59" t="n"/>
      <c r="N101" s="59" t="n"/>
    </row>
    <row r="102" ht="43.5" customHeight="1">
      <c r="A102" s="63" t="n"/>
      <c r="B102" s="63" t="n"/>
      <c r="C102" s="64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15" t="n"/>
      <c r="M102" s="63" t="n"/>
      <c r="N102" s="16" t="n"/>
    </row>
    <row r="103" ht="130.5" customHeight="1">
      <c r="A103" s="59" t="n"/>
      <c r="B103" s="59" t="n"/>
      <c r="C103" s="60" t="n"/>
      <c r="D103" s="59" t="n"/>
      <c r="E103" s="59" t="n"/>
      <c r="F103" s="59" t="n"/>
      <c r="G103" s="59" t="n"/>
      <c r="H103" s="59" t="n"/>
      <c r="I103" s="59" t="n"/>
      <c r="J103" s="61" t="n"/>
      <c r="K103" s="59" t="n"/>
      <c r="L103" s="62" t="n"/>
      <c r="M103" s="59" t="n"/>
      <c r="N103" s="17" t="n"/>
    </row>
    <row r="104" ht="130.5" customHeight="1">
      <c r="A104" s="63" t="n"/>
      <c r="B104" s="63" t="n"/>
      <c r="C104" s="64" t="n"/>
      <c r="D104" s="63" t="n"/>
      <c r="E104" s="63" t="n"/>
      <c r="F104" s="63" t="n"/>
      <c r="G104" s="63" t="n"/>
      <c r="H104" s="63" t="n"/>
      <c r="I104" s="63" t="n"/>
      <c r="J104" s="65" t="n"/>
      <c r="K104" s="63" t="n"/>
      <c r="L104" s="15" t="n"/>
      <c r="M104" s="63" t="n"/>
      <c r="N104" s="16" t="n"/>
    </row>
    <row r="105" ht="231" customHeight="1">
      <c r="A105" s="59" t="n"/>
      <c r="B105" s="59" t="n"/>
      <c r="C105" s="60" t="n"/>
      <c r="D105" s="59" t="n"/>
      <c r="E105" s="59" t="n"/>
      <c r="F105" s="59" t="n"/>
      <c r="G105" s="59" t="n"/>
      <c r="H105" s="59" t="n"/>
      <c r="I105" s="59" t="n"/>
      <c r="J105" s="61" t="n"/>
      <c r="K105" s="59" t="n"/>
      <c r="L105" s="62" t="n"/>
      <c r="M105" s="59" t="n"/>
      <c r="N105" s="59" t="n"/>
    </row>
    <row r="106" ht="57.75" customHeight="1">
      <c r="A106" s="63" t="n"/>
      <c r="B106" s="63" t="n"/>
      <c r="C106" s="64" t="n"/>
      <c r="D106" s="63" t="n"/>
      <c r="E106" s="63" t="n"/>
      <c r="F106" s="63" t="n"/>
      <c r="G106" s="63" t="n"/>
      <c r="H106" s="63" t="n"/>
      <c r="I106" s="63" t="n"/>
      <c r="J106" s="65" t="n"/>
      <c r="K106" s="63" t="n"/>
      <c r="L106" s="15" t="n"/>
      <c r="M106" s="63" t="n"/>
      <c r="N106" s="16" t="n"/>
    </row>
    <row r="107" ht="57.75" customHeight="1">
      <c r="A107" s="59" t="n"/>
      <c r="B107" s="59" t="n"/>
      <c r="C107" s="60" t="n"/>
      <c r="D107" s="59" t="n"/>
      <c r="E107" s="59" t="n"/>
      <c r="F107" s="59" t="n"/>
      <c r="G107" s="59" t="n"/>
      <c r="H107" s="59" t="n"/>
      <c r="I107" s="59" t="n"/>
      <c r="J107" s="61" t="n"/>
      <c r="K107" s="59" t="n"/>
      <c r="L107" s="62" t="n"/>
      <c r="M107" s="59" t="n"/>
      <c r="N107" s="17" t="n"/>
    </row>
    <row r="108" ht="29.25" customHeight="1">
      <c r="A108" s="63" t="n"/>
      <c r="B108" s="63" t="n"/>
      <c r="C108" s="64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15" t="n"/>
      <c r="M108" s="63" t="n"/>
      <c r="N108" s="16" t="n"/>
    </row>
    <row r="109">
      <c r="A109" s="59" t="n"/>
      <c r="B109" s="59" t="n"/>
      <c r="C109" s="60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62" t="n"/>
      <c r="M109" s="59" t="n"/>
      <c r="N109" s="17" t="n"/>
    </row>
    <row r="110" ht="133.5" customHeight="1">
      <c r="A110" s="63" t="n"/>
      <c r="B110" s="63" t="n"/>
      <c r="C110" s="64" t="n"/>
      <c r="D110" s="63" t="n"/>
      <c r="E110" s="63" t="n"/>
      <c r="F110" s="63" t="n"/>
      <c r="G110" s="63" t="n"/>
      <c r="H110" s="63" t="n"/>
      <c r="I110" s="63" t="n"/>
      <c r="J110" s="65" t="n"/>
      <c r="K110" s="63" t="n"/>
      <c r="L110" s="15" t="n"/>
      <c r="M110" s="63" t="n"/>
      <c r="N110" s="63" t="n"/>
    </row>
    <row r="111" ht="72.75" customHeight="1">
      <c r="A111" s="59" t="n"/>
      <c r="B111" s="59" t="n"/>
      <c r="C111" s="60" t="n"/>
      <c r="D111" s="59" t="n"/>
      <c r="E111" s="59" t="n"/>
      <c r="F111" s="59" t="n"/>
      <c r="G111" s="59" t="n"/>
      <c r="H111" s="59" t="n"/>
      <c r="I111" s="59" t="n"/>
      <c r="J111" s="61" t="n"/>
      <c r="K111" s="59" t="n"/>
      <c r="L111" s="62" t="n"/>
      <c r="M111" s="59" t="n"/>
      <c r="N111" s="17" t="n"/>
    </row>
    <row r="112" ht="144.75" customHeight="1">
      <c r="A112" s="63" t="n"/>
      <c r="B112" s="63" t="n"/>
      <c r="C112" s="64" t="n"/>
      <c r="D112" s="63" t="n"/>
      <c r="E112" s="63" t="n"/>
      <c r="F112" s="63" t="n"/>
      <c r="G112" s="63" t="n"/>
      <c r="H112" s="63" t="n"/>
      <c r="I112" s="63" t="n"/>
      <c r="J112" s="65" t="n"/>
      <c r="K112" s="63" t="n"/>
      <c r="L112" s="15" t="n"/>
      <c r="M112" s="63" t="n"/>
      <c r="N112" s="16" t="n"/>
    </row>
    <row r="113" ht="174" customHeight="1">
      <c r="A113" s="59" t="n"/>
      <c r="B113" s="59" t="n"/>
      <c r="C113" s="60" t="n"/>
      <c r="D113" s="59" t="n"/>
      <c r="E113" s="59" t="n"/>
      <c r="F113" s="59" t="n"/>
      <c r="G113" s="59" t="n"/>
      <c r="H113" s="59" t="n"/>
      <c r="I113" s="59" t="n"/>
      <c r="J113" s="61" t="n"/>
      <c r="K113" s="59" t="n"/>
      <c r="L113" s="62" t="n"/>
      <c r="M113" s="59" t="n"/>
      <c r="N113" s="17" t="n"/>
    </row>
    <row r="114" ht="144.75" customHeight="1">
      <c r="A114" s="63" t="n"/>
      <c r="B114" s="63" t="n"/>
      <c r="C114" s="64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15" t="n"/>
      <c r="M114" s="63" t="n"/>
      <c r="N114" s="16" t="n"/>
    </row>
    <row r="115">
      <c r="A115" s="59" t="n"/>
      <c r="B115" s="59" t="n"/>
      <c r="C115" s="60" t="n"/>
      <c r="D115" s="59" t="n"/>
      <c r="E115" s="59" t="n"/>
      <c r="F115" s="59" t="n"/>
      <c r="G115" s="59" t="n"/>
      <c r="H115" s="59" t="n"/>
      <c r="I115" s="59" t="n"/>
      <c r="J115" s="61" t="n"/>
      <c r="K115" s="59" t="n"/>
      <c r="L115" s="62" t="n"/>
      <c r="M115" s="59" t="n"/>
      <c r="N115" s="17" t="n"/>
    </row>
    <row r="116" ht="115.5" customHeight="1">
      <c r="A116" s="63" t="n"/>
      <c r="B116" s="63" t="n"/>
      <c r="C116" s="64" t="n"/>
      <c r="D116" s="63" t="n"/>
      <c r="E116" s="63" t="n"/>
      <c r="F116" s="63" t="n"/>
      <c r="G116" s="63" t="n"/>
      <c r="H116" s="63" t="n"/>
      <c r="I116" s="63" t="n"/>
      <c r="J116" s="65" t="n"/>
      <c r="K116" s="63" t="n"/>
      <c r="L116" s="15" t="n"/>
      <c r="M116" s="63" t="n"/>
      <c r="N116" s="16" t="n"/>
    </row>
    <row r="117" ht="57.75" customHeight="1">
      <c r="A117" s="59" t="n"/>
      <c r="B117" s="59" t="n"/>
      <c r="C117" s="60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62" t="n"/>
      <c r="M117" s="59" t="n"/>
      <c r="N117" s="17" t="n"/>
    </row>
    <row r="118" ht="101.25" customHeight="1">
      <c r="A118" s="63" t="n"/>
      <c r="B118" s="63" t="n"/>
      <c r="C118" s="64" t="n"/>
      <c r="D118" s="63" t="n"/>
      <c r="E118" s="63" t="n"/>
      <c r="F118" s="63" t="n"/>
      <c r="G118" s="63" t="n"/>
      <c r="H118" s="63" t="n"/>
      <c r="I118" s="63" t="n"/>
      <c r="J118" s="65" t="n"/>
      <c r="K118" s="63" t="n"/>
      <c r="L118" s="15" t="n"/>
      <c r="M118" s="63" t="n"/>
      <c r="N118" s="16" t="n"/>
    </row>
    <row r="119" ht="101.25" customHeight="1">
      <c r="A119" s="59" t="n"/>
      <c r="B119" s="59" t="n"/>
      <c r="C119" s="60" t="n"/>
      <c r="D119" s="59" t="n"/>
      <c r="E119" s="59" t="n"/>
      <c r="F119" s="59" t="n"/>
      <c r="G119" s="59" t="n"/>
      <c r="H119" s="59" t="n"/>
      <c r="I119" s="59" t="n"/>
      <c r="J119" s="61" t="n"/>
      <c r="K119" s="59" t="n"/>
      <c r="L119" s="62" t="n"/>
      <c r="M119" s="59" t="n"/>
      <c r="N119" s="17" t="n"/>
    </row>
    <row r="120" ht="29.25" customHeight="1">
      <c r="A120" s="63" t="n"/>
      <c r="B120" s="63" t="n"/>
      <c r="C120" s="64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15" t="n"/>
      <c r="M120" s="63" t="n"/>
      <c r="N120" s="63" t="n"/>
    </row>
    <row r="121" ht="87" customHeight="1">
      <c r="A121" s="59" t="n"/>
      <c r="B121" s="59" t="n"/>
      <c r="C121" s="60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62" t="n"/>
      <c r="M121" s="59" t="n"/>
      <c r="N121" s="17" t="n"/>
    </row>
    <row r="122">
      <c r="A122" s="63" t="n"/>
      <c r="B122" s="63" t="n"/>
      <c r="C122" s="64" t="n"/>
      <c r="D122" s="63" t="n"/>
      <c r="E122" s="63" t="n"/>
      <c r="F122" s="63" t="n"/>
      <c r="G122" s="63" t="n"/>
      <c r="H122" s="63" t="n"/>
      <c r="I122" s="63" t="n"/>
      <c r="J122" s="65" t="n"/>
      <c r="K122" s="63" t="n"/>
      <c r="L122" s="15" t="n"/>
      <c r="M122" s="63" t="n"/>
      <c r="N122" s="63" t="n"/>
    </row>
    <row r="123" ht="231" customHeight="1">
      <c r="A123" s="59" t="n"/>
      <c r="B123" s="59" t="n"/>
      <c r="C123" s="60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62" t="n"/>
      <c r="M123" s="59" t="n"/>
      <c r="N123" s="17" t="n"/>
    </row>
    <row r="124" ht="159" customHeight="1">
      <c r="A124" s="63" t="n"/>
      <c r="B124" s="63" t="n"/>
      <c r="C124" s="64" t="n"/>
      <c r="D124" s="63" t="n"/>
      <c r="E124" s="63" t="n"/>
      <c r="F124" s="63" t="n"/>
      <c r="G124" s="63" t="n"/>
      <c r="H124" s="63" t="n"/>
      <c r="I124" s="63" t="n"/>
      <c r="J124" s="65" t="n"/>
      <c r="K124" s="63" t="n"/>
      <c r="L124" s="15" t="n"/>
      <c r="M124" s="63" t="n"/>
      <c r="N124" s="16" t="n"/>
    </row>
    <row r="125" ht="72.75" customHeight="1">
      <c r="A125" s="59" t="n"/>
      <c r="B125" s="59" t="n"/>
      <c r="C125" s="60" t="n"/>
      <c r="D125" s="59" t="n"/>
      <c r="E125" s="59" t="n"/>
      <c r="F125" s="59" t="n"/>
      <c r="G125" s="59" t="n"/>
      <c r="H125" s="59" t="n"/>
      <c r="I125" s="59" t="n"/>
      <c r="J125" s="61" t="n"/>
      <c r="K125" s="59" t="n"/>
      <c r="L125" s="62" t="n"/>
      <c r="M125" s="59" t="n"/>
      <c r="N125" s="59" t="n"/>
    </row>
    <row r="126">
      <c r="A126" s="63" t="n"/>
      <c r="B126" s="63" t="n"/>
      <c r="C126" s="64" t="n"/>
      <c r="D126" s="63" t="n"/>
      <c r="E126" s="63" t="n"/>
      <c r="F126" s="63" t="n"/>
      <c r="G126" s="63" t="n"/>
      <c r="H126" s="63" t="n"/>
      <c r="I126" s="63" t="n"/>
      <c r="J126" s="65" t="n"/>
      <c r="K126" s="63" t="n"/>
      <c r="L126" s="15" t="n"/>
      <c r="M126" s="63" t="n"/>
      <c r="N126" s="63" t="n"/>
    </row>
    <row r="127" ht="72.75" customHeight="1">
      <c r="A127" s="59" t="n"/>
      <c r="B127" s="59" t="n"/>
      <c r="C127" s="60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62" t="n"/>
      <c r="M127" s="59" t="n"/>
      <c r="N127" s="59" t="n"/>
    </row>
    <row r="128" ht="87" customHeight="1">
      <c r="A128" s="63" t="n"/>
      <c r="B128" s="63" t="n"/>
      <c r="C128" s="64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15" t="n"/>
      <c r="M128" s="63" t="n"/>
      <c r="N128" s="16" t="n"/>
    </row>
    <row r="129" ht="43.5" customHeight="1">
      <c r="A129" s="59" t="n"/>
      <c r="B129" s="59" t="n"/>
      <c r="C129" s="60" t="n"/>
      <c r="D129" s="59" t="n"/>
      <c r="E129" s="59" t="n"/>
      <c r="F129" s="59" t="n"/>
      <c r="G129" s="59" t="n"/>
      <c r="H129" s="59" t="n"/>
      <c r="I129" s="59" t="n"/>
      <c r="J129" s="61" t="n"/>
      <c r="K129" s="59" t="n"/>
      <c r="L129" s="62" t="n"/>
      <c r="M129" s="59" t="n"/>
      <c r="N129" s="17" t="n"/>
    </row>
    <row r="130">
      <c r="A130" s="63" t="n"/>
      <c r="B130" s="63" t="n"/>
      <c r="C130" s="64" t="n"/>
      <c r="D130" s="63" t="n"/>
      <c r="E130" s="63" t="n"/>
      <c r="F130" s="63" t="n"/>
      <c r="G130" s="63" t="n"/>
      <c r="H130" s="63" t="n"/>
      <c r="I130" s="63" t="n"/>
      <c r="J130" s="65" t="n"/>
      <c r="K130" s="63" t="n"/>
      <c r="L130" s="15" t="n"/>
      <c r="M130" s="63" t="n"/>
      <c r="N130" s="16" t="n"/>
    </row>
    <row r="131" ht="188.25" customHeight="1">
      <c r="A131" s="59" t="n"/>
      <c r="B131" s="59" t="n"/>
      <c r="C131" s="60" t="n"/>
      <c r="D131" s="59" t="n"/>
      <c r="E131" s="59" t="n"/>
      <c r="F131" s="59" t="n"/>
      <c r="G131" s="59" t="n"/>
      <c r="H131" s="59" t="n"/>
      <c r="I131" s="59" t="n"/>
      <c r="J131" s="61" t="n"/>
      <c r="K131" s="59" t="n"/>
      <c r="L131" s="62" t="n"/>
      <c r="M131" s="59" t="n"/>
      <c r="N131" s="59" t="n"/>
    </row>
    <row r="132" ht="57.75" customHeight="1">
      <c r="A132" s="63" t="n"/>
      <c r="B132" s="63" t="n"/>
      <c r="C132" s="64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15" t="n"/>
      <c r="M132" s="63" t="n"/>
      <c r="N132" s="16" t="n"/>
    </row>
    <row r="133" ht="390" customHeight="1">
      <c r="A133" s="59" t="n"/>
      <c r="B133" s="59" t="n"/>
      <c r="C133" s="60" t="n"/>
      <c r="D133" s="59" t="n"/>
      <c r="E133" s="59" t="n"/>
      <c r="F133" s="59" t="n"/>
      <c r="G133" s="59" t="n"/>
      <c r="H133" s="59" t="n"/>
      <c r="I133" s="59" t="n"/>
      <c r="J133" s="61" t="n"/>
      <c r="K133" s="59" t="n"/>
      <c r="L133" s="62" t="n"/>
      <c r="M133" s="59" t="n"/>
      <c r="N133" s="17" t="n"/>
    </row>
    <row r="134" ht="115.5" customHeight="1">
      <c r="A134" s="63" t="n"/>
      <c r="B134" s="63" t="n"/>
      <c r="C134" s="64" t="n"/>
      <c r="D134" s="63" t="n"/>
      <c r="E134" s="63" t="n"/>
      <c r="F134" s="63" t="n"/>
      <c r="G134" s="63" t="n"/>
      <c r="H134" s="63" t="n"/>
      <c r="I134" s="63" t="n"/>
      <c r="J134" s="65" t="n"/>
      <c r="K134" s="63" t="n"/>
      <c r="L134" s="15" t="n"/>
      <c r="M134" s="63" t="n"/>
      <c r="N134" s="63" t="n"/>
    </row>
    <row r="135" ht="29.25" customHeight="1">
      <c r="A135" s="59" t="n"/>
      <c r="B135" s="59" t="n"/>
      <c r="C135" s="60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62" t="n"/>
      <c r="M135" s="59" t="n"/>
      <c r="N135" s="17" t="n"/>
    </row>
    <row r="136" ht="201.75" customHeight="1">
      <c r="A136" s="63" t="n"/>
      <c r="B136" s="63" t="n"/>
      <c r="C136" s="64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15" t="n"/>
      <c r="M136" s="63" t="n"/>
      <c r="N136" s="63" t="n"/>
    </row>
    <row r="137" ht="72.75" customHeight="1">
      <c r="A137" s="59" t="n"/>
      <c r="B137" s="59" t="n"/>
      <c r="C137" s="60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62" t="n"/>
      <c r="M137" s="59" t="n"/>
      <c r="N137" s="17" t="n"/>
    </row>
    <row r="138" ht="130.5" customHeight="1">
      <c r="A138" s="63" t="n"/>
      <c r="B138" s="63" t="n"/>
      <c r="C138" s="64" t="n"/>
      <c r="D138" s="63" t="n"/>
      <c r="E138" s="63" t="n"/>
      <c r="F138" s="63" t="n"/>
      <c r="G138" s="63" t="n"/>
      <c r="H138" s="63" t="n"/>
      <c r="I138" s="63" t="n"/>
      <c r="J138" s="65" t="n"/>
      <c r="K138" s="63" t="n"/>
      <c r="L138" s="15" t="n"/>
      <c r="M138" s="63" t="n"/>
      <c r="N138" s="16" t="n"/>
    </row>
    <row r="139" ht="57.75" customHeight="1">
      <c r="A139" s="59" t="n"/>
      <c r="B139" s="59" t="n"/>
      <c r="C139" s="60" t="n"/>
      <c r="D139" s="59" t="n"/>
      <c r="E139" s="59" t="n"/>
      <c r="F139" s="59" t="n"/>
      <c r="G139" s="59" t="n"/>
      <c r="H139" s="59" t="n"/>
      <c r="I139" s="59" t="n"/>
      <c r="J139" s="61" t="n"/>
      <c r="K139" s="59" t="n"/>
      <c r="L139" s="62" t="n"/>
      <c r="M139" s="59" t="n"/>
      <c r="N139" s="17" t="n"/>
    </row>
    <row r="140" ht="87" customHeight="1">
      <c r="A140" s="63" t="n"/>
      <c r="B140" s="63" t="n"/>
      <c r="C140" s="64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15" t="n"/>
      <c r="M140" s="63" t="n"/>
      <c r="N140" s="16" t="n"/>
    </row>
    <row r="141" ht="174" customHeight="1">
      <c r="A141" s="59" t="n"/>
      <c r="B141" s="59" t="n"/>
      <c r="C141" s="60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62" t="n"/>
      <c r="M141" s="59" t="n"/>
      <c r="N141" s="59" t="n"/>
    </row>
    <row r="142" ht="115.5" customHeight="1">
      <c r="A142" s="63" t="n"/>
      <c r="B142" s="63" t="n"/>
      <c r="C142" s="64" t="n"/>
      <c r="D142" s="63" t="n"/>
      <c r="E142" s="63" t="n"/>
      <c r="F142" s="63" t="n"/>
      <c r="G142" s="63" t="n"/>
      <c r="H142" s="63" t="n"/>
      <c r="I142" s="63" t="n"/>
      <c r="J142" s="65" t="n"/>
      <c r="K142" s="63" t="n"/>
      <c r="L142" s="15" t="n"/>
      <c r="M142" s="63" t="n"/>
      <c r="N142" s="16" t="n"/>
    </row>
    <row r="143" ht="130.5" customHeight="1">
      <c r="A143" s="59" t="n"/>
      <c r="B143" s="59" t="n"/>
      <c r="C143" s="60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62" t="n"/>
      <c r="M143" s="59" t="n"/>
      <c r="N143" s="59" t="n"/>
    </row>
    <row r="144" ht="29.25" customHeight="1">
      <c r="A144" s="63" t="n"/>
      <c r="B144" s="63" t="n"/>
      <c r="C144" s="64" t="n"/>
      <c r="D144" s="63" t="n"/>
      <c r="E144" s="63" t="n"/>
      <c r="F144" s="63" t="n"/>
      <c r="G144" s="63" t="n"/>
      <c r="H144" s="63" t="n"/>
      <c r="I144" s="63" t="n"/>
      <c r="J144" s="65" t="n"/>
      <c r="K144" s="63" t="n"/>
      <c r="L144" s="15" t="n"/>
      <c r="M144" s="63" t="n"/>
      <c r="N144" s="63" t="n"/>
    </row>
    <row r="145">
      <c r="A145" s="59" t="n"/>
      <c r="B145" s="59" t="n"/>
      <c r="C145" s="60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62" t="n"/>
      <c r="M145" s="59" t="n"/>
      <c r="N145" s="17" t="n"/>
    </row>
    <row r="146" ht="72.75" customHeight="1">
      <c r="A146" s="63" t="n"/>
      <c r="B146" s="63" t="n"/>
      <c r="C146" s="64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15" t="n"/>
      <c r="M146" s="63" t="n"/>
      <c r="N146" s="63" t="n"/>
    </row>
    <row r="147" ht="174" customHeight="1">
      <c r="A147" s="59" t="n"/>
      <c r="B147" s="59" t="n"/>
      <c r="C147" s="60" t="n"/>
      <c r="D147" s="59" t="n"/>
      <c r="E147" s="59" t="n"/>
      <c r="F147" s="59" t="n"/>
      <c r="G147" s="59" t="n"/>
      <c r="H147" s="59" t="n"/>
      <c r="I147" s="59" t="n"/>
      <c r="J147" s="61" t="n"/>
      <c r="K147" s="59" t="n"/>
      <c r="L147" s="62" t="n"/>
      <c r="M147" s="59" t="n"/>
      <c r="N147" s="17" t="n"/>
    </row>
    <row r="148" ht="188.25" customHeight="1">
      <c r="A148" s="63" t="n"/>
      <c r="B148" s="63" t="n"/>
      <c r="C148" s="64" t="n"/>
      <c r="D148" s="63" t="n"/>
      <c r="E148" s="63" t="n"/>
      <c r="F148" s="63" t="n"/>
      <c r="G148" s="63" t="n"/>
      <c r="H148" s="63" t="n"/>
      <c r="I148" s="63" t="n"/>
      <c r="J148" s="65" t="n"/>
      <c r="K148" s="63" t="n"/>
      <c r="L148" s="15" t="n"/>
      <c r="M148" s="63" t="n"/>
      <c r="N148" s="16" t="n"/>
    </row>
    <row r="149" ht="29.25" customHeight="1">
      <c r="A149" s="59" t="n"/>
      <c r="B149" s="59" t="n"/>
      <c r="C149" s="60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62" t="n"/>
      <c r="M149" s="59" t="n"/>
      <c r="N149" s="17" t="n"/>
    </row>
    <row r="150" ht="29.25" customHeight="1">
      <c r="A150" s="63" t="n"/>
      <c r="B150" s="63" t="n"/>
      <c r="C150" s="64" t="n"/>
      <c r="D150" s="63" t="n"/>
      <c r="E150" s="63" t="n"/>
      <c r="F150" s="63" t="n"/>
      <c r="G150" s="63" t="n"/>
      <c r="H150" s="63" t="n"/>
      <c r="I150" s="63" t="n"/>
      <c r="J150" s="65" t="n"/>
      <c r="K150" s="63" t="n"/>
      <c r="L150" s="15" t="n"/>
      <c r="M150" s="63" t="n"/>
      <c r="N150" s="16" t="n"/>
    </row>
    <row r="151" ht="159" customHeight="1">
      <c r="A151" s="59" t="n"/>
      <c r="B151" s="59" t="n"/>
      <c r="C151" s="60" t="n"/>
      <c r="D151" s="59" t="n"/>
      <c r="E151" s="59" t="n"/>
      <c r="F151" s="59" t="n"/>
      <c r="G151" s="59" t="n"/>
      <c r="H151" s="59" t="n"/>
      <c r="I151" s="59" t="n"/>
      <c r="J151" s="61" t="n"/>
      <c r="K151" s="59" t="n"/>
      <c r="L151" s="62" t="n"/>
      <c r="M151" s="59" t="n"/>
      <c r="N151" s="17" t="n"/>
    </row>
    <row r="152" ht="29.25" customHeight="1">
      <c r="A152" s="63" t="n"/>
      <c r="B152" s="63" t="n"/>
      <c r="C152" s="64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15" t="n"/>
      <c r="M152" s="63" t="n"/>
      <c r="N152" s="16" t="n"/>
    </row>
    <row r="153" ht="101.25" customHeight="1">
      <c r="A153" s="59" t="n"/>
      <c r="B153" s="59" t="n"/>
      <c r="C153" s="60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62" t="n"/>
      <c r="M153" s="59" t="n"/>
      <c r="N153" s="59" t="n"/>
    </row>
    <row r="154">
      <c r="A154" s="63" t="n"/>
      <c r="B154" s="63" t="n"/>
      <c r="C154" s="64" t="n"/>
      <c r="D154" s="63" t="n"/>
      <c r="E154" s="63" t="n"/>
      <c r="F154" s="63" t="n"/>
      <c r="G154" s="63" t="n"/>
      <c r="H154" s="63" t="n"/>
      <c r="I154" s="63" t="n"/>
      <c r="J154" s="65" t="n"/>
      <c r="K154" s="63" t="n"/>
      <c r="L154" s="15" t="n"/>
      <c r="M154" s="63" t="n"/>
      <c r="N154" s="16" t="n"/>
    </row>
    <row r="155" ht="72.75" customHeight="1">
      <c r="A155" s="59" t="n"/>
      <c r="B155" s="59" t="n"/>
      <c r="C155" s="60" t="n"/>
      <c r="D155" s="59" t="n"/>
      <c r="E155" s="59" t="n"/>
      <c r="F155" s="59" t="n"/>
      <c r="G155" s="59" t="n"/>
      <c r="H155" s="59" t="n"/>
      <c r="I155" s="59" t="n"/>
      <c r="J155" s="61" t="n"/>
      <c r="K155" s="59" t="n"/>
      <c r="L155" s="62" t="n"/>
      <c r="M155" s="59" t="n"/>
      <c r="N155" s="59" t="n"/>
    </row>
    <row r="156" ht="188.25" customHeight="1">
      <c r="A156" s="63" t="n"/>
      <c r="B156" s="63" t="n"/>
      <c r="C156" s="64" t="n"/>
      <c r="D156" s="63" t="n"/>
      <c r="E156" s="63" t="n"/>
      <c r="F156" s="63" t="n"/>
      <c r="G156" s="63" t="n"/>
      <c r="H156" s="63" t="n"/>
      <c r="I156" s="63" t="n"/>
      <c r="J156" s="65" t="n"/>
      <c r="K156" s="63" t="n"/>
      <c r="L156" s="15" t="n"/>
      <c r="M156" s="63" t="n"/>
      <c r="N156" s="16" t="n"/>
    </row>
    <row r="157" ht="87" customHeight="1">
      <c r="A157" s="59" t="n"/>
      <c r="B157" s="59" t="n"/>
      <c r="C157" s="60" t="n"/>
      <c r="D157" s="59" t="n"/>
      <c r="E157" s="59" t="n"/>
      <c r="F157" s="59" t="n"/>
      <c r="G157" s="59" t="n"/>
      <c r="H157" s="59" t="n"/>
      <c r="I157" s="59" t="n"/>
      <c r="J157" s="61" t="n"/>
      <c r="K157" s="59" t="n"/>
      <c r="L157" s="62" t="n"/>
      <c r="M157" s="59" t="n"/>
      <c r="N157" s="17" t="n"/>
    </row>
    <row r="158" ht="115.5" customHeight="1">
      <c r="A158" s="63" t="n"/>
      <c r="B158" s="63" t="n"/>
      <c r="C158" s="64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15" t="n"/>
      <c r="M158" s="63" t="n"/>
      <c r="N158" s="16" t="n"/>
    </row>
    <row r="159">
      <c r="A159" s="59" t="n"/>
      <c r="B159" s="59" t="n"/>
      <c r="C159" s="60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62" t="n"/>
      <c r="M159" s="59" t="n"/>
      <c r="N159" s="59" t="n"/>
    </row>
    <row r="160" ht="43.5" customHeight="1">
      <c r="A160" s="63" t="n"/>
      <c r="B160" s="63" t="n"/>
      <c r="C160" s="64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15" t="n"/>
      <c r="M160" s="63" t="n"/>
      <c r="N160" s="16" t="n"/>
    </row>
    <row r="161" ht="115.5" customHeight="1">
      <c r="A161" s="59" t="n"/>
      <c r="B161" s="59" t="n"/>
      <c r="C161" s="60" t="n"/>
      <c r="D161" s="59" t="n"/>
      <c r="E161" s="59" t="n"/>
      <c r="F161" s="59" t="n"/>
      <c r="G161" s="59" t="n"/>
      <c r="H161" s="59" t="n"/>
      <c r="I161" s="59" t="n"/>
      <c r="J161" s="61" t="n"/>
      <c r="K161" s="59" t="n"/>
      <c r="L161" s="62" t="n"/>
      <c r="M161" s="59" t="n"/>
      <c r="N161" s="59" t="n"/>
    </row>
    <row r="162">
      <c r="A162" s="63" t="n"/>
      <c r="B162" s="63" t="n"/>
      <c r="C162" s="64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15" t="n"/>
      <c r="M162" s="63" t="n"/>
      <c r="N162" s="16" t="n"/>
    </row>
    <row r="163" ht="72.75" customHeight="1">
      <c r="A163" s="59" t="n"/>
      <c r="B163" s="59" t="n"/>
      <c r="C163" s="60" t="n"/>
      <c r="D163" s="59" t="n"/>
      <c r="E163" s="59" t="n"/>
      <c r="F163" s="59" t="n"/>
      <c r="G163" s="59" t="n"/>
      <c r="H163" s="59" t="n"/>
      <c r="I163" s="59" t="n"/>
      <c r="J163" s="61" t="n"/>
      <c r="K163" s="59" t="n"/>
      <c r="L163" s="62" t="n"/>
      <c r="M163" s="59" t="n"/>
      <c r="N163" s="59" t="n"/>
    </row>
    <row r="164">
      <c r="A164" s="63" t="n"/>
      <c r="B164" s="63" t="n"/>
      <c r="C164" s="64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15" t="n"/>
      <c r="M164" s="63" t="n"/>
      <c r="N164" s="16" t="n"/>
    </row>
    <row r="165" ht="57.75" customHeight="1">
      <c r="A165" s="59" t="n"/>
      <c r="B165" s="59" t="n"/>
      <c r="C165" s="60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62" t="n"/>
      <c r="M165" s="59" t="n"/>
      <c r="N165" s="17" t="n"/>
    </row>
    <row r="166" ht="231" customHeight="1">
      <c r="A166" s="63" t="n"/>
      <c r="B166" s="63" t="n"/>
      <c r="C166" s="64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15" t="n"/>
      <c r="M166" s="63" t="n"/>
      <c r="N166" s="63" t="n"/>
    </row>
    <row r="167" ht="29.25" customHeight="1">
      <c r="A167" s="59" t="n"/>
      <c r="B167" s="59" t="n"/>
      <c r="C167" s="60" t="n"/>
      <c r="D167" s="59" t="n"/>
      <c r="E167" s="59" t="n"/>
      <c r="F167" s="59" t="n"/>
      <c r="G167" s="59" t="n"/>
      <c r="H167" s="59" t="n"/>
      <c r="I167" s="59" t="n"/>
      <c r="J167" s="61" t="n"/>
      <c r="K167" s="59" t="n"/>
      <c r="L167" s="62" t="n"/>
      <c r="M167" s="59" t="n"/>
      <c r="N167" s="17" t="n"/>
    </row>
    <row r="168" ht="43.5" customHeight="1">
      <c r="A168" s="63" t="n"/>
      <c r="B168" s="63" t="n"/>
      <c r="C168" s="64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15" t="n"/>
      <c r="M168" s="63" t="n"/>
      <c r="N168" s="16" t="n"/>
    </row>
    <row r="169" ht="43.5" customHeight="1">
      <c r="A169" s="59" t="n"/>
      <c r="B169" s="59" t="n"/>
      <c r="C169" s="60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62" t="n"/>
      <c r="M169" s="59" t="n"/>
      <c r="N169" s="17" t="n"/>
    </row>
    <row r="170" ht="188.25" customHeight="1">
      <c r="A170" s="63" t="n"/>
      <c r="B170" s="63" t="n"/>
      <c r="C170" s="64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15" t="n"/>
      <c r="M170" s="63" t="n"/>
      <c r="N170" s="16" t="n"/>
    </row>
    <row r="171" ht="87" customHeight="1">
      <c r="A171" s="59" t="n"/>
      <c r="B171" s="59" t="n"/>
      <c r="C171" s="60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62" t="n"/>
      <c r="M171" s="59" t="n"/>
      <c r="N171" s="17" t="n"/>
    </row>
    <row r="172" ht="72.75" customHeight="1">
      <c r="A172" s="63" t="n"/>
      <c r="B172" s="63" t="n"/>
      <c r="C172" s="64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15" t="n"/>
      <c r="M172" s="63" t="n"/>
      <c r="N172" s="63" t="n"/>
    </row>
    <row r="173" ht="130.5" customHeight="1">
      <c r="A173" s="59" t="n"/>
      <c r="B173" s="59" t="n"/>
      <c r="C173" s="60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62" t="n"/>
      <c r="M173" s="59" t="n"/>
      <c r="N173" s="17" t="n"/>
    </row>
    <row r="174" ht="29.25" customHeight="1">
      <c r="A174" s="63" t="n"/>
      <c r="B174" s="63" t="n"/>
      <c r="C174" s="64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15" t="n"/>
      <c r="M174" s="63" t="n"/>
      <c r="N174" s="16" t="n"/>
    </row>
    <row r="175" ht="43.5" customHeight="1">
      <c r="A175" s="59" t="n"/>
      <c r="B175" s="59" t="n"/>
      <c r="C175" s="60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62" t="n"/>
      <c r="M175" s="59" t="n"/>
      <c r="N175" s="59" t="n"/>
    </row>
    <row r="176" ht="43.5" customHeight="1">
      <c r="A176" s="63" t="n"/>
      <c r="B176" s="63" t="n"/>
      <c r="C176" s="64" t="n"/>
      <c r="D176" s="63" t="n"/>
      <c r="E176" s="63" t="n"/>
      <c r="F176" s="63" t="n"/>
      <c r="G176" s="63" t="n"/>
      <c r="H176" s="63" t="n"/>
      <c r="I176" s="63" t="n"/>
      <c r="J176" s="65" t="n"/>
      <c r="K176" s="63" t="n"/>
      <c r="L176" s="15" t="n"/>
      <c r="M176" s="63" t="n"/>
      <c r="N176" s="16" t="n"/>
    </row>
    <row r="177" ht="201.75" customHeight="1">
      <c r="A177" s="59" t="n"/>
      <c r="B177" s="59" t="n"/>
      <c r="C177" s="60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62" t="n"/>
      <c r="M177" s="59" t="n"/>
      <c r="N177" s="17" t="n"/>
    </row>
    <row r="178" ht="130.5" customHeight="1">
      <c r="A178" s="63" t="n"/>
      <c r="B178" s="63" t="n"/>
      <c r="C178" s="64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15" t="n"/>
      <c r="M178" s="63" t="n"/>
      <c r="N178" s="63" t="n"/>
    </row>
    <row r="179" ht="174" customHeight="1">
      <c r="A179" s="59" t="n"/>
      <c r="B179" s="59" t="n"/>
      <c r="C179" s="60" t="n"/>
      <c r="D179" s="59" t="n"/>
      <c r="E179" s="59" t="n"/>
      <c r="F179" s="59" t="n"/>
      <c r="G179" s="59" t="n"/>
      <c r="H179" s="59" t="n"/>
      <c r="I179" s="59" t="n"/>
      <c r="J179" s="61" t="n"/>
      <c r="K179" s="59" t="n"/>
      <c r="L179" s="62" t="n"/>
      <c r="M179" s="59" t="n"/>
      <c r="N179" s="59" t="n"/>
    </row>
    <row r="180" ht="174" customHeight="1">
      <c r="A180" s="63" t="n"/>
      <c r="B180" s="63" t="n"/>
      <c r="C180" s="64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15" t="n"/>
      <c r="M180" s="63" t="n"/>
      <c r="N180" s="63" t="n"/>
    </row>
    <row r="181" ht="57.75" customHeight="1">
      <c r="A181" s="59" t="n"/>
      <c r="B181" s="59" t="n"/>
      <c r="C181" s="60" t="n"/>
      <c r="D181" s="59" t="n"/>
      <c r="E181" s="59" t="n"/>
      <c r="F181" s="59" t="n"/>
      <c r="G181" s="59" t="n"/>
      <c r="H181" s="59" t="n"/>
      <c r="I181" s="59" t="n"/>
      <c r="J181" s="61" t="n"/>
      <c r="K181" s="59" t="n"/>
      <c r="L181" s="62" t="n"/>
      <c r="M181" s="59" t="n"/>
      <c r="N181" s="17" t="n"/>
    </row>
    <row r="182" ht="115.5" customHeight="1">
      <c r="A182" s="63" t="n"/>
      <c r="B182" s="63" t="n"/>
      <c r="C182" s="64" t="n"/>
      <c r="D182" s="63" t="n"/>
      <c r="E182" s="63" t="n"/>
      <c r="F182" s="63" t="n"/>
      <c r="G182" s="63" t="n"/>
      <c r="H182" s="63" t="n"/>
      <c r="I182" s="63" t="n"/>
      <c r="J182" s="65" t="n"/>
      <c r="K182" s="63" t="n"/>
      <c r="L182" s="15" t="n"/>
      <c r="M182" s="63" t="n"/>
      <c r="N182" s="16" t="n"/>
    </row>
    <row r="183" ht="188.25" customHeight="1">
      <c r="A183" s="59" t="n"/>
      <c r="B183" s="59" t="n"/>
      <c r="C183" s="60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62" t="n"/>
      <c r="M183" s="59" t="n"/>
      <c r="N183" s="59" t="n"/>
    </row>
    <row r="184" ht="29.25" customHeight="1">
      <c r="A184" s="63" t="n"/>
      <c r="B184" s="63" t="n"/>
      <c r="C184" s="64" t="n"/>
      <c r="D184" s="63" t="n"/>
      <c r="E184" s="63" t="n"/>
      <c r="F184" s="63" t="n"/>
      <c r="G184" s="63" t="n"/>
      <c r="H184" s="63" t="n"/>
      <c r="I184" s="63" t="n"/>
      <c r="J184" s="65" t="n"/>
      <c r="K184" s="63" t="n"/>
      <c r="L184" s="15" t="n"/>
      <c r="M184" s="63" t="n"/>
      <c r="N184" s="16" t="n"/>
    </row>
    <row r="185">
      <c r="A185" s="59" t="n"/>
      <c r="B185" s="59" t="n"/>
      <c r="C185" s="60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62" t="n"/>
      <c r="M185" s="59" t="n"/>
      <c r="N185" s="17" t="n"/>
    </row>
    <row r="186" ht="101.25" customHeight="1">
      <c r="A186" s="63" t="n"/>
      <c r="B186" s="63" t="n"/>
      <c r="C186" s="64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15" t="n"/>
      <c r="M186" s="63" t="n"/>
      <c r="N186" s="16" t="n"/>
    </row>
    <row r="187" ht="231" customHeight="1">
      <c r="A187" s="59" t="n"/>
      <c r="B187" s="59" t="n"/>
      <c r="C187" s="60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62" t="n"/>
      <c r="M187" s="59" t="n"/>
      <c r="N187" s="59" t="n"/>
    </row>
    <row r="188" ht="201.75" customHeight="1">
      <c r="A188" s="63" t="n"/>
      <c r="B188" s="63" t="n"/>
      <c r="C188" s="64" t="n"/>
      <c r="D188" s="63" t="n"/>
      <c r="E188" s="63" t="n"/>
      <c r="F188" s="63" t="n"/>
      <c r="G188" s="63" t="n"/>
      <c r="H188" s="63" t="n"/>
      <c r="I188" s="63" t="n"/>
      <c r="J188" s="65" t="n"/>
      <c r="K188" s="63" t="n"/>
      <c r="L188" s="15" t="n"/>
      <c r="M188" s="63" t="n"/>
      <c r="N188" s="63" t="n"/>
    </row>
    <row r="189" ht="101.25" customHeight="1">
      <c r="A189" s="59" t="n"/>
      <c r="B189" s="59" t="n"/>
      <c r="C189" s="60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62" t="n"/>
      <c r="M189" s="59" t="n"/>
      <c r="N189" s="17" t="n"/>
    </row>
    <row r="190" ht="57.75" customHeight="1">
      <c r="A190" s="63" t="n"/>
      <c r="B190" s="63" t="n"/>
      <c r="C190" s="64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15" t="n"/>
      <c r="M190" s="63" t="n"/>
      <c r="N190" s="16" t="n"/>
    </row>
    <row r="191" ht="57.75" customHeight="1">
      <c r="A191" s="59" t="n"/>
      <c r="B191" s="59" t="n"/>
      <c r="C191" s="60" t="n"/>
      <c r="D191" s="59" t="n"/>
      <c r="E191" s="59" t="n"/>
      <c r="F191" s="59" t="n"/>
      <c r="G191" s="59" t="n"/>
      <c r="H191" s="59" t="n"/>
      <c r="I191" s="59" t="n"/>
      <c r="J191" s="61" t="n"/>
      <c r="K191" s="59" t="n"/>
      <c r="L191" s="62" t="n"/>
      <c r="M191" s="59" t="n"/>
      <c r="N191" s="59" t="n"/>
    </row>
    <row r="192" ht="130.5" customHeight="1">
      <c r="A192" s="63" t="n"/>
      <c r="B192" s="63" t="n"/>
      <c r="C192" s="64" t="n"/>
      <c r="D192" s="63" t="n"/>
      <c r="E192" s="63" t="n"/>
      <c r="F192" s="63" t="n"/>
      <c r="G192" s="63" t="n"/>
      <c r="H192" s="63" t="n"/>
      <c r="I192" s="63" t="n"/>
      <c r="J192" s="65" t="n"/>
      <c r="K192" s="63" t="n"/>
      <c r="L192" s="15" t="n"/>
      <c r="M192" s="63" t="n"/>
      <c r="N192" s="63" t="n"/>
    </row>
    <row r="193" ht="101.25" customHeight="1">
      <c r="A193" s="59" t="n"/>
      <c r="B193" s="59" t="n"/>
      <c r="C193" s="60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62" t="n"/>
      <c r="M193" s="59" t="n"/>
      <c r="N193" s="17" t="n"/>
    </row>
    <row r="194" ht="87" customHeight="1">
      <c r="A194" s="63" t="n"/>
      <c r="B194" s="63" t="n"/>
      <c r="C194" s="64" t="n"/>
      <c r="D194" s="63" t="n"/>
      <c r="E194" s="63" t="n"/>
      <c r="F194" s="63" t="n"/>
      <c r="G194" s="63" t="n"/>
      <c r="H194" s="63" t="n"/>
      <c r="I194" s="63" t="n"/>
      <c r="J194" s="65" t="n"/>
      <c r="K194" s="63" t="n"/>
      <c r="L194" s="15" t="n"/>
      <c r="M194" s="63" t="n"/>
      <c r="N194" s="16" t="n"/>
    </row>
    <row r="195" ht="29.25" customHeight="1">
      <c r="A195" s="59" t="n"/>
      <c r="B195" s="59" t="n"/>
      <c r="C195" s="60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62" t="n"/>
      <c r="M195" s="59" t="n"/>
      <c r="N195" s="17" t="n"/>
    </row>
    <row r="196">
      <c r="A196" s="63" t="n"/>
      <c r="B196" s="63" t="n"/>
      <c r="C196" s="64" t="n"/>
      <c r="D196" s="63" t="n"/>
      <c r="E196" s="63" t="n"/>
      <c r="F196" s="63" t="n"/>
      <c r="G196" s="63" t="n"/>
      <c r="H196" s="63" t="n"/>
      <c r="I196" s="63" t="n"/>
      <c r="J196" s="65" t="n"/>
      <c r="K196" s="63" t="n"/>
      <c r="L196" s="15" t="n"/>
      <c r="M196" s="63" t="n"/>
      <c r="N196" s="63" t="n"/>
    </row>
    <row r="197">
      <c r="A197" s="59" t="n"/>
      <c r="B197" s="59" t="n"/>
      <c r="C197" s="60" t="n"/>
      <c r="D197" s="59" t="n"/>
      <c r="E197" s="59" t="n"/>
      <c r="F197" s="59" t="n"/>
      <c r="G197" s="59" t="n"/>
      <c r="H197" s="59" t="n"/>
      <c r="I197" s="59" t="n"/>
      <c r="J197" s="61" t="n"/>
      <c r="K197" s="59" t="n"/>
      <c r="L197" s="62" t="n"/>
      <c r="M197" s="59" t="n"/>
      <c r="N197" s="17" t="n"/>
    </row>
    <row r="198" ht="43.5" customHeight="1">
      <c r="A198" s="63" t="n"/>
      <c r="B198" s="63" t="n"/>
      <c r="C198" s="64" t="n"/>
      <c r="D198" s="63" t="n"/>
      <c r="E198" s="63" t="n"/>
      <c r="F198" s="63" t="n"/>
      <c r="G198" s="63" t="n"/>
      <c r="H198" s="63" t="n"/>
      <c r="I198" s="63" t="n"/>
      <c r="J198" s="65" t="n"/>
      <c r="K198" s="63" t="n"/>
      <c r="L198" s="15" t="n"/>
      <c r="M198" s="63" t="n"/>
      <c r="N198" s="63" t="n"/>
    </row>
    <row r="199" ht="72.75" customHeight="1">
      <c r="A199" s="59" t="n"/>
      <c r="B199" s="59" t="n"/>
      <c r="C199" s="60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62" t="n"/>
      <c r="M199" s="59" t="n"/>
      <c r="N199" s="59" t="n"/>
    </row>
    <row r="200" ht="29.25" customHeight="1">
      <c r="A200" s="63" t="n"/>
      <c r="B200" s="63" t="n"/>
      <c r="C200" s="64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15" t="n"/>
      <c r="M200" s="63" t="n"/>
      <c r="N200" s="16" t="n"/>
    </row>
    <row r="201" ht="29.25" customHeight="1">
      <c r="A201" s="59" t="n"/>
      <c r="B201" s="59" t="n"/>
      <c r="C201" s="60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62" t="n"/>
      <c r="M201" s="59" t="n"/>
      <c r="N201" s="17" t="n"/>
    </row>
    <row r="202" ht="188.25" customHeight="1">
      <c r="A202" s="63" t="n"/>
      <c r="B202" s="63" t="n"/>
      <c r="C202" s="64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15" t="n"/>
      <c r="M202" s="63" t="n"/>
      <c r="N202" s="16" t="n"/>
    </row>
    <row r="203" ht="188.25" customHeight="1">
      <c r="A203" s="59" t="n"/>
      <c r="B203" s="59" t="n"/>
      <c r="C203" s="60" t="n"/>
      <c r="D203" s="59" t="n"/>
      <c r="E203" s="59" t="n"/>
      <c r="F203" s="59" t="n"/>
      <c r="G203" s="59" t="n"/>
      <c r="H203" s="59" t="n"/>
      <c r="I203" s="59" t="n"/>
      <c r="J203" s="61" t="n"/>
      <c r="K203" s="59" t="n"/>
      <c r="L203" s="66" t="n"/>
      <c r="M203" s="59" t="n"/>
      <c r="N203" s="17" t="n"/>
    </row>
    <row r="204" ht="57.75" customHeight="1">
      <c r="A204" s="63" t="n"/>
      <c r="B204" s="63" t="n"/>
      <c r="C204" s="64" t="n"/>
      <c r="D204" s="63" t="n"/>
      <c r="E204" s="63" t="n"/>
      <c r="F204" s="63" t="n"/>
      <c r="G204" s="63" t="n"/>
      <c r="H204" s="63" t="n"/>
      <c r="I204" s="63" t="n"/>
      <c r="J204" s="65" t="n"/>
      <c r="K204" s="63" t="n"/>
      <c r="L204" s="15" t="n"/>
      <c r="M204" s="63" t="n"/>
      <c r="N204" s="63" t="n"/>
    </row>
    <row r="205" ht="130.5" customHeight="1">
      <c r="A205" s="59" t="n"/>
      <c r="B205" s="59" t="n"/>
      <c r="C205" s="60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62" t="n"/>
      <c r="M205" s="59" t="n"/>
      <c r="N205" s="59" t="n"/>
    </row>
    <row r="206" ht="87" customHeight="1">
      <c r="A206" s="63" t="n"/>
      <c r="B206" s="63" t="n"/>
      <c r="C206" s="64" t="n"/>
      <c r="D206" s="63" t="n"/>
      <c r="E206" s="63" t="n"/>
      <c r="F206" s="63" t="n"/>
      <c r="G206" s="63" t="n"/>
      <c r="H206" s="63" t="n"/>
      <c r="I206" s="63" t="n"/>
      <c r="J206" s="65" t="n"/>
      <c r="K206" s="63" t="n"/>
      <c r="L206" s="15" t="n"/>
      <c r="M206" s="63" t="n"/>
      <c r="N206" s="16" t="n"/>
    </row>
    <row r="207" ht="87" customHeight="1">
      <c r="A207" s="59" t="n"/>
      <c r="B207" s="59" t="n"/>
      <c r="C207" s="60" t="n"/>
      <c r="D207" s="59" t="n"/>
      <c r="E207" s="59" t="n"/>
      <c r="F207" s="59" t="n"/>
      <c r="G207" s="59" t="n"/>
      <c r="H207" s="59" t="n"/>
      <c r="I207" s="59" t="n"/>
      <c r="J207" s="61" t="n"/>
      <c r="K207" s="59" t="n"/>
      <c r="L207" s="62" t="n"/>
      <c r="M207" s="59" t="n"/>
      <c r="N207" s="17" t="n"/>
    </row>
    <row r="208" ht="87" customHeight="1">
      <c r="A208" s="63" t="n"/>
      <c r="B208" s="63" t="n"/>
      <c r="C208" s="64" t="n"/>
      <c r="D208" s="63" t="n"/>
      <c r="E208" s="63" t="n"/>
      <c r="F208" s="63" t="n"/>
      <c r="G208" s="63" t="n"/>
      <c r="H208" s="63" t="n"/>
      <c r="I208" s="63" t="n"/>
      <c r="J208" s="65" t="n"/>
      <c r="K208" s="63" t="n"/>
      <c r="L208" s="15" t="n"/>
      <c r="M208" s="63" t="n"/>
      <c r="N208" s="16" t="n"/>
    </row>
    <row r="209">
      <c r="A209" s="59" t="n"/>
      <c r="B209" s="59" t="n"/>
      <c r="C209" s="60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62" t="n"/>
      <c r="M209" s="59" t="n"/>
      <c r="N209" s="17" t="n"/>
    </row>
    <row r="210" ht="57.75" customHeight="1">
      <c r="A210" s="63" t="n"/>
      <c r="B210" s="63" t="n"/>
      <c r="C210" s="64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15" t="n"/>
      <c r="M210" s="63" t="n"/>
      <c r="N210" s="16" t="n"/>
    </row>
    <row r="211" ht="87" customHeight="1">
      <c r="A211" s="59" t="n"/>
      <c r="B211" s="59" t="n"/>
      <c r="C211" s="60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62" t="n"/>
      <c r="M211" s="59" t="n"/>
      <c r="N211" s="17" t="n"/>
    </row>
    <row r="212" ht="87" customHeight="1">
      <c r="A212" s="63" t="n"/>
      <c r="B212" s="63" t="n"/>
      <c r="C212" s="64" t="n"/>
      <c r="D212" s="63" t="n"/>
      <c r="E212" s="63" t="n"/>
      <c r="F212" s="63" t="n"/>
      <c r="G212" s="63" t="n"/>
      <c r="H212" s="63" t="n"/>
      <c r="I212" s="63" t="n"/>
      <c r="J212" s="65" t="n"/>
      <c r="K212" s="63" t="n"/>
      <c r="L212" s="15" t="n"/>
      <c r="M212" s="63" t="n"/>
      <c r="N212" s="63" t="n"/>
    </row>
    <row r="213" ht="72.75" customHeight="1">
      <c r="A213" s="59" t="n"/>
      <c r="B213" s="59" t="n"/>
      <c r="C213" s="60" t="n"/>
      <c r="D213" s="59" t="n"/>
      <c r="E213" s="59" t="n"/>
      <c r="F213" s="59" t="n"/>
      <c r="G213" s="59" t="n"/>
      <c r="H213" s="59" t="n"/>
      <c r="I213" s="59" t="n"/>
      <c r="J213" s="61" t="n"/>
      <c r="K213" s="59" t="n"/>
      <c r="L213" s="62" t="n"/>
      <c r="M213" s="59" t="n"/>
      <c r="N213" s="17" t="n"/>
    </row>
    <row r="214" ht="174" customHeight="1">
      <c r="A214" s="63" t="n"/>
      <c r="B214" s="63" t="n"/>
      <c r="C214" s="64" t="n"/>
      <c r="D214" s="63" t="n"/>
      <c r="E214" s="63" t="n"/>
      <c r="F214" s="63" t="n"/>
      <c r="G214" s="63" t="n"/>
      <c r="H214" s="63" t="n"/>
      <c r="I214" s="63" t="n"/>
      <c r="J214" s="65" t="n"/>
      <c r="K214" s="63" t="n"/>
      <c r="L214" s="15" t="n"/>
      <c r="M214" s="63" t="n"/>
      <c r="N214" s="63" t="n"/>
    </row>
    <row r="215" ht="87" customHeight="1">
      <c r="A215" s="59" t="n"/>
      <c r="B215" s="59" t="n"/>
      <c r="C215" s="60" t="n"/>
      <c r="D215" s="59" t="n"/>
      <c r="E215" s="59" t="n"/>
      <c r="F215" s="59" t="n"/>
      <c r="G215" s="59" t="n"/>
      <c r="H215" s="59" t="n"/>
      <c r="I215" s="59" t="n"/>
      <c r="J215" s="61" t="n"/>
      <c r="K215" s="59" t="n"/>
      <c r="L215" s="62" t="n"/>
      <c r="M215" s="59" t="n"/>
      <c r="N215" s="17" t="n"/>
    </row>
    <row r="216" ht="201.75" customHeight="1">
      <c r="A216" s="63" t="n"/>
      <c r="B216" s="63" t="n"/>
      <c r="C216" s="64" t="n"/>
      <c r="D216" s="63" t="n"/>
      <c r="E216" s="63" t="n"/>
      <c r="F216" s="63" t="n"/>
      <c r="G216" s="63" t="n"/>
      <c r="H216" s="63" t="n"/>
      <c r="I216" s="63" t="n"/>
      <c r="J216" s="65" t="n"/>
      <c r="K216" s="63" t="n"/>
      <c r="L216" s="15" t="n"/>
      <c r="M216" s="63" t="n"/>
      <c r="N216" s="16" t="n"/>
    </row>
    <row r="217" ht="57.75" customHeight="1">
      <c r="A217" s="59" t="n"/>
      <c r="B217" s="59" t="n"/>
      <c r="C217" s="60" t="n"/>
      <c r="D217" s="59" t="n"/>
      <c r="E217" s="59" t="n"/>
      <c r="F217" s="59" t="n"/>
      <c r="G217" s="59" t="n"/>
      <c r="H217" s="59" t="n"/>
      <c r="I217" s="59" t="n"/>
      <c r="J217" s="61" t="n"/>
      <c r="K217" s="59" t="n"/>
      <c r="L217" s="62" t="n"/>
      <c r="M217" s="59" t="n"/>
      <c r="N217" s="59" t="n"/>
    </row>
    <row r="218" ht="72.75" customHeight="1">
      <c r="A218" s="63" t="n"/>
      <c r="B218" s="63" t="n"/>
      <c r="C218" s="64" t="n"/>
      <c r="D218" s="63" t="n"/>
      <c r="E218" s="63" t="n"/>
      <c r="F218" s="63" t="n"/>
      <c r="G218" s="63" t="n"/>
      <c r="H218" s="63" t="n"/>
      <c r="I218" s="63" t="n"/>
      <c r="J218" s="65" t="n"/>
      <c r="K218" s="63" t="n"/>
      <c r="L218" s="15" t="n"/>
      <c r="M218" s="63" t="n"/>
      <c r="N218" s="16" t="n"/>
    </row>
    <row r="219">
      <c r="A219" s="59" t="n"/>
      <c r="B219" s="59" t="n"/>
      <c r="C219" s="60" t="n"/>
      <c r="D219" s="59" t="n"/>
      <c r="E219" s="59" t="n"/>
      <c r="F219" s="59" t="n"/>
      <c r="G219" s="59" t="n"/>
      <c r="H219" s="59" t="n"/>
      <c r="I219" s="59" t="n"/>
      <c r="J219" s="61" t="n"/>
      <c r="K219" s="59" t="n"/>
      <c r="L219" s="62" t="n"/>
      <c r="M219" s="59" t="n"/>
      <c r="N219" s="59" t="n"/>
    </row>
    <row r="220" ht="29.25" customHeight="1">
      <c r="A220" s="63" t="n"/>
      <c r="B220" s="63" t="n"/>
      <c r="C220" s="64" t="n"/>
      <c r="D220" s="63" t="n"/>
      <c r="E220" s="63" t="n"/>
      <c r="F220" s="63" t="n"/>
      <c r="G220" s="63" t="n"/>
      <c r="H220" s="63" t="n"/>
      <c r="I220" s="63" t="n"/>
      <c r="J220" s="65" t="n"/>
      <c r="K220" s="63" t="n"/>
      <c r="L220" s="15" t="n"/>
      <c r="M220" s="63" t="n"/>
      <c r="N220" s="63" t="n"/>
    </row>
    <row r="221">
      <c r="A221" s="59" t="n"/>
      <c r="B221" s="59" t="n"/>
      <c r="C221" s="60" t="n"/>
      <c r="D221" s="59" t="n"/>
      <c r="E221" s="59" t="n"/>
      <c r="F221" s="59" t="n"/>
      <c r="G221" s="59" t="n"/>
      <c r="H221" s="59" t="n"/>
      <c r="I221" s="59" t="n"/>
      <c r="J221" s="61" t="n"/>
      <c r="K221" s="59" t="n"/>
      <c r="L221" s="62" t="n"/>
      <c r="M221" s="59" t="n"/>
      <c r="N221" s="59" t="n"/>
    </row>
    <row r="222" ht="101.25" customHeight="1">
      <c r="A222" s="63" t="n"/>
      <c r="B222" s="63" t="n"/>
      <c r="C222" s="64" t="n"/>
      <c r="D222" s="63" t="n"/>
      <c r="E222" s="63" t="n"/>
      <c r="F222" s="63" t="n"/>
      <c r="G222" s="63" t="n"/>
      <c r="H222" s="63" t="n"/>
      <c r="I222" s="63" t="n"/>
      <c r="J222" s="65" t="n"/>
      <c r="K222" s="63" t="n"/>
      <c r="L222" s="15" t="n"/>
      <c r="M222" s="63" t="n"/>
      <c r="N222" s="16" t="n"/>
    </row>
    <row r="223" ht="144.75" customHeight="1">
      <c r="A223" s="59" t="n"/>
      <c r="B223" s="59" t="n"/>
      <c r="C223" s="60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62" t="n"/>
      <c r="M223" s="59" t="n"/>
      <c r="N223" s="17" t="n"/>
    </row>
    <row r="224" ht="231" customHeight="1">
      <c r="A224" s="63" t="n"/>
      <c r="B224" s="63" t="n"/>
      <c r="C224" s="64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15" t="n"/>
      <c r="M224" s="63" t="n"/>
      <c r="N224" s="16" t="n"/>
    </row>
    <row r="225" ht="29.25" customHeight="1">
      <c r="A225" s="59" t="n"/>
      <c r="B225" s="59" t="n"/>
      <c r="C225" s="60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62" t="n"/>
      <c r="M225" s="59" t="n"/>
      <c r="N225" s="59" t="n"/>
    </row>
    <row r="226" ht="159" customHeight="1">
      <c r="A226" s="63" t="n"/>
      <c r="B226" s="63" t="n"/>
      <c r="C226" s="64" t="n"/>
      <c r="D226" s="63" t="n"/>
      <c r="E226" s="63" t="n"/>
      <c r="F226" s="63" t="n"/>
      <c r="G226" s="63" t="n"/>
      <c r="H226" s="63" t="n"/>
      <c r="I226" s="63" t="n"/>
      <c r="J226" s="65" t="n"/>
      <c r="K226" s="63" t="n"/>
      <c r="L226" s="15" t="n"/>
      <c r="M226" s="63" t="n"/>
      <c r="N226" s="16" t="n"/>
    </row>
    <row r="227" ht="29.25" customHeight="1">
      <c r="A227" s="59" t="n"/>
      <c r="B227" s="59" t="n"/>
      <c r="C227" s="60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62" t="n"/>
      <c r="M227" s="59" t="n"/>
      <c r="N227" s="17" t="n"/>
    </row>
    <row r="228" ht="174" customHeight="1">
      <c r="A228" s="63" t="n"/>
      <c r="B228" s="63" t="n"/>
      <c r="C228" s="64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15" t="n"/>
      <c r="M228" s="63" t="n"/>
      <c r="N228" s="63" t="n"/>
    </row>
    <row r="229" ht="115.5" customHeight="1">
      <c r="A229" s="59" t="n"/>
      <c r="B229" s="59" t="n"/>
      <c r="C229" s="60" t="n"/>
      <c r="D229" s="59" t="n"/>
      <c r="E229" s="59" t="n"/>
      <c r="F229" s="59" t="n"/>
      <c r="G229" s="59" t="n"/>
      <c r="H229" s="59" t="n"/>
      <c r="I229" s="59" t="n"/>
      <c r="J229" s="61" t="n"/>
      <c r="K229" s="59" t="n"/>
      <c r="L229" s="62" t="n"/>
      <c r="M229" s="59" t="n"/>
      <c r="N229" s="59" t="n"/>
    </row>
    <row r="230" ht="130.5" customHeight="1">
      <c r="A230" s="63" t="n"/>
      <c r="B230" s="63" t="n"/>
      <c r="C230" s="64" t="n"/>
      <c r="D230" s="63" t="n"/>
      <c r="E230" s="63" t="n"/>
      <c r="F230" s="63" t="n"/>
      <c r="G230" s="63" t="n"/>
      <c r="H230" s="63" t="n"/>
      <c r="I230" s="63" t="n"/>
      <c r="J230" s="65" t="n"/>
      <c r="K230" s="63" t="n"/>
      <c r="L230" s="15" t="n"/>
      <c r="M230" s="63" t="n"/>
      <c r="N230" s="16" t="n"/>
    </row>
    <row r="231" ht="29.25" customHeight="1">
      <c r="A231" s="59" t="n"/>
      <c r="B231" s="59" t="n"/>
      <c r="C231" s="60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62" t="n"/>
      <c r="M231" s="59" t="n"/>
      <c r="N231" s="17" t="n"/>
    </row>
    <row r="232" ht="101.25" customHeight="1">
      <c r="A232" s="63" t="n"/>
      <c r="B232" s="63" t="n"/>
      <c r="C232" s="64" t="n"/>
      <c r="D232" s="63" t="n"/>
      <c r="E232" s="63" t="n"/>
      <c r="F232" s="63" t="n"/>
      <c r="G232" s="63" t="n"/>
      <c r="H232" s="63" t="n"/>
      <c r="I232" s="63" t="n"/>
      <c r="J232" s="65" t="n"/>
      <c r="K232" s="63" t="n"/>
      <c r="L232" s="15" t="n"/>
      <c r="M232" s="63" t="n"/>
      <c r="N232" s="63" t="n"/>
    </row>
    <row r="233" ht="115.5" customHeight="1">
      <c r="A233" s="59" t="n"/>
      <c r="B233" s="59" t="n"/>
      <c r="C233" s="60" t="n"/>
      <c r="D233" s="59" t="n"/>
      <c r="E233" s="59" t="n"/>
      <c r="F233" s="59" t="n"/>
      <c r="G233" s="59" t="n"/>
      <c r="H233" s="59" t="n"/>
      <c r="I233" s="59" t="n"/>
      <c r="J233" s="61" t="n"/>
      <c r="K233" s="59" t="n"/>
      <c r="L233" s="62" t="n"/>
      <c r="M233" s="59" t="n"/>
      <c r="N233" s="17" t="n"/>
    </row>
    <row r="234" ht="115.5" customHeight="1">
      <c r="A234" s="63" t="n"/>
      <c r="B234" s="63" t="n"/>
      <c r="C234" s="64" t="n"/>
      <c r="D234" s="63" t="n"/>
      <c r="E234" s="63" t="n"/>
      <c r="F234" s="63" t="n"/>
      <c r="G234" s="63" t="n"/>
      <c r="H234" s="63" t="n"/>
      <c r="I234" s="63" t="n"/>
      <c r="J234" s="65" t="n"/>
      <c r="K234" s="63" t="n"/>
      <c r="L234" s="15" t="n"/>
      <c r="M234" s="63" t="n"/>
      <c r="N234" s="16" t="n"/>
    </row>
    <row r="235" ht="115.5" customHeight="1">
      <c r="A235" s="59" t="n"/>
      <c r="B235" s="59" t="n"/>
      <c r="C235" s="60" t="n"/>
      <c r="D235" s="59" t="n"/>
      <c r="E235" s="59" t="n"/>
      <c r="F235" s="59" t="n"/>
      <c r="G235" s="59" t="n"/>
      <c r="H235" s="59" t="n"/>
      <c r="I235" s="59" t="n"/>
      <c r="J235" s="61" t="n"/>
      <c r="K235" s="59" t="n"/>
      <c r="L235" s="62" t="n"/>
      <c r="M235" s="59" t="n"/>
      <c r="N235" s="17" t="n"/>
    </row>
    <row r="236" ht="115.5" customHeight="1">
      <c r="A236" s="63" t="n"/>
      <c r="B236" s="63" t="n"/>
      <c r="C236" s="64" t="n"/>
      <c r="D236" s="63" t="n"/>
      <c r="E236" s="63" t="n"/>
      <c r="F236" s="63" t="n"/>
      <c r="G236" s="63" t="n"/>
      <c r="H236" s="63" t="n"/>
      <c r="I236" s="63" t="n"/>
      <c r="J236" s="65" t="n"/>
      <c r="K236" s="63" t="n"/>
      <c r="L236" s="15" t="n"/>
      <c r="M236" s="63" t="n"/>
      <c r="N236" s="16" t="n"/>
    </row>
    <row r="237" ht="57.75" customHeight="1">
      <c r="A237" s="59" t="n"/>
      <c r="B237" s="59" t="n"/>
      <c r="C237" s="60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62" t="n"/>
      <c r="M237" s="59" t="n"/>
      <c r="N237" s="59" t="n"/>
    </row>
    <row r="238">
      <c r="A238" s="63" t="n"/>
      <c r="B238" s="63" t="n"/>
      <c r="C238" s="64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15" t="n"/>
      <c r="M238" s="63" t="n"/>
      <c r="N238" s="63" t="n"/>
    </row>
    <row r="239" ht="130.5" customHeight="1">
      <c r="A239" s="59" t="n"/>
      <c r="B239" s="59" t="n"/>
      <c r="C239" s="60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62" t="n"/>
      <c r="M239" s="59" t="n"/>
      <c r="N239" s="17" t="n"/>
    </row>
    <row r="240" ht="159" customHeight="1">
      <c r="A240" s="63" t="n"/>
      <c r="B240" s="63" t="n"/>
      <c r="C240" s="64" t="n"/>
      <c r="D240" s="63" t="n"/>
      <c r="E240" s="63" t="n"/>
      <c r="F240" s="63" t="n"/>
      <c r="G240" s="63" t="n"/>
      <c r="H240" s="63" t="n"/>
      <c r="I240" s="63" t="n"/>
      <c r="J240" s="65" t="n"/>
      <c r="K240" s="63" t="n"/>
      <c r="L240" s="15" t="n"/>
      <c r="M240" s="63" t="n"/>
      <c r="N240" s="16" t="n"/>
    </row>
    <row r="241">
      <c r="A241" s="59" t="n"/>
      <c r="B241" s="59" t="n"/>
      <c r="C241" s="60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62" t="n"/>
      <c r="M241" s="59" t="n"/>
      <c r="N241" s="17" t="n"/>
    </row>
    <row r="242">
      <c r="A242" s="63" t="n"/>
      <c r="B242" s="63" t="n"/>
      <c r="C242" s="64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15" t="n"/>
      <c r="M242" s="63" t="n"/>
      <c r="N242" s="16" t="n"/>
    </row>
    <row r="243" ht="87" customHeight="1">
      <c r="A243" s="59" t="n"/>
      <c r="B243" s="59" t="n"/>
      <c r="C243" s="60" t="n"/>
      <c r="D243" s="59" t="n"/>
      <c r="E243" s="59" t="n"/>
      <c r="F243" s="59" t="n"/>
      <c r="G243" s="59" t="n"/>
      <c r="H243" s="59" t="n"/>
      <c r="I243" s="59" t="n"/>
      <c r="J243" s="61" t="n"/>
      <c r="K243" s="59" t="n"/>
      <c r="L243" s="62" t="n"/>
      <c r="M243" s="59" t="n"/>
      <c r="N243" s="17" t="n"/>
    </row>
    <row r="244">
      <c r="A244" s="63" t="n"/>
      <c r="B244" s="63" t="n"/>
      <c r="C244" s="64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15" t="n"/>
      <c r="M244" s="63" t="n"/>
      <c r="N244" s="16" t="n"/>
    </row>
    <row r="245" ht="231" customHeight="1">
      <c r="A245" s="59" t="n"/>
      <c r="B245" s="59" t="n"/>
      <c r="C245" s="60" t="n"/>
      <c r="D245" s="59" t="n"/>
      <c r="E245" s="59" t="n"/>
      <c r="F245" s="59" t="n"/>
      <c r="G245" s="59" t="n"/>
      <c r="H245" s="59" t="n"/>
      <c r="I245" s="59" t="n"/>
      <c r="J245" s="61" t="n"/>
      <c r="K245" s="59" t="n"/>
      <c r="L245" s="62" t="n"/>
      <c r="M245" s="59" t="n"/>
      <c r="N245" s="17" t="n"/>
    </row>
    <row r="246" ht="101.25" customHeight="1">
      <c r="A246" s="63" t="n"/>
      <c r="B246" s="63" t="n"/>
      <c r="C246" s="64" t="n"/>
      <c r="D246" s="63" t="n"/>
      <c r="E246" s="63" t="n"/>
      <c r="F246" s="63" t="n"/>
      <c r="G246" s="63" t="n"/>
      <c r="H246" s="63" t="n"/>
      <c r="I246" s="63" t="n"/>
      <c r="J246" s="65" t="n"/>
      <c r="K246" s="63" t="n"/>
      <c r="L246" s="15" t="n"/>
      <c r="M246" s="63" t="n"/>
      <c r="N246" s="63" t="n"/>
    </row>
    <row r="247" ht="87" customHeight="1">
      <c r="A247" s="59" t="n"/>
      <c r="B247" s="59" t="n"/>
      <c r="C247" s="60" t="n"/>
      <c r="D247" s="59" t="n"/>
      <c r="E247" s="59" t="n"/>
      <c r="F247" s="59" t="n"/>
      <c r="G247" s="59" t="n"/>
      <c r="H247" s="59" t="n"/>
      <c r="I247" s="59" t="n"/>
      <c r="J247" s="61" t="n"/>
      <c r="K247" s="59" t="n"/>
      <c r="L247" s="62" t="n"/>
      <c r="M247" s="59" t="n"/>
      <c r="N247" s="17" t="n"/>
    </row>
    <row r="248" ht="174" customHeight="1">
      <c r="A248" s="63" t="n"/>
      <c r="B248" s="63" t="n"/>
      <c r="C248" s="64" t="n"/>
      <c r="D248" s="63" t="n"/>
      <c r="E248" s="63" t="n"/>
      <c r="F248" s="63" t="n"/>
      <c r="G248" s="63" t="n"/>
      <c r="H248" s="63" t="n"/>
      <c r="I248" s="63" t="n"/>
      <c r="J248" s="65" t="n"/>
      <c r="K248" s="63" t="n"/>
      <c r="L248" s="15" t="n"/>
      <c r="M248" s="63" t="n"/>
      <c r="N248" s="16" t="n"/>
    </row>
    <row r="249" ht="159" customHeight="1">
      <c r="A249" s="59" t="n"/>
      <c r="B249" s="59" t="n"/>
      <c r="C249" s="60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62" t="n"/>
      <c r="M249" s="59" t="n"/>
      <c r="N249" s="17" t="n"/>
    </row>
    <row r="250" ht="87" customHeight="1">
      <c r="A250" s="63" t="n"/>
      <c r="B250" s="63" t="n"/>
      <c r="C250" s="64" t="n"/>
      <c r="D250" s="63" t="n"/>
      <c r="E250" s="63" t="n"/>
      <c r="F250" s="63" t="n"/>
      <c r="G250" s="63" t="n"/>
      <c r="H250" s="63" t="n"/>
      <c r="I250" s="63" t="n"/>
      <c r="J250" s="65" t="n"/>
      <c r="K250" s="63" t="n"/>
      <c r="L250" s="15" t="n"/>
      <c r="M250" s="63" t="n"/>
      <c r="N250" s="16" t="n"/>
    </row>
    <row r="251">
      <c r="A251" s="59" t="n"/>
      <c r="B251" s="59" t="n"/>
      <c r="C251" s="60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62" t="n"/>
      <c r="M251" s="59" t="n"/>
      <c r="N251" s="17" t="n"/>
    </row>
    <row r="252" ht="144.75" customHeight="1">
      <c r="A252" s="63" t="n"/>
      <c r="B252" s="63" t="n"/>
      <c r="C252" s="64" t="n"/>
      <c r="D252" s="63" t="n"/>
      <c r="E252" s="63" t="n"/>
      <c r="F252" s="63" t="n"/>
      <c r="G252" s="63" t="n"/>
      <c r="H252" s="63" t="n"/>
      <c r="I252" s="63" t="n"/>
      <c r="J252" s="65" t="n"/>
      <c r="K252" s="63" t="n"/>
      <c r="L252" s="15" t="n"/>
      <c r="M252" s="63" t="n"/>
      <c r="N252" s="63" t="n"/>
    </row>
    <row r="253" ht="130.5" customHeight="1">
      <c r="A253" s="59" t="n"/>
      <c r="B253" s="59" t="n"/>
      <c r="C253" s="60" t="n"/>
      <c r="D253" s="59" t="n"/>
      <c r="E253" s="59" t="n"/>
      <c r="F253" s="59" t="n"/>
      <c r="G253" s="59" t="n"/>
      <c r="H253" s="59" t="n"/>
      <c r="I253" s="59" t="n"/>
      <c r="J253" s="61" t="n"/>
      <c r="K253" s="59" t="n"/>
      <c r="L253" s="62" t="n"/>
      <c r="M253" s="59" t="n"/>
      <c r="N253" s="17" t="n"/>
    </row>
    <row r="254" ht="174" customHeight="1">
      <c r="A254" s="63" t="n"/>
      <c r="B254" s="63" t="n"/>
      <c r="C254" s="64" t="n"/>
      <c r="D254" s="63" t="n"/>
      <c r="E254" s="63" t="n"/>
      <c r="F254" s="63" t="n"/>
      <c r="G254" s="63" t="n"/>
      <c r="H254" s="63" t="n"/>
      <c r="I254" s="63" t="n"/>
      <c r="J254" s="67" t="n"/>
      <c r="K254" s="63" t="n"/>
      <c r="L254" s="15" t="n"/>
      <c r="M254" s="63" t="n"/>
      <c r="N254" s="63" t="n"/>
    </row>
    <row r="255" ht="72.75" customHeight="1">
      <c r="A255" s="59" t="n"/>
      <c r="B255" s="59" t="n"/>
      <c r="C255" s="60" t="n"/>
      <c r="D255" s="59" t="n"/>
      <c r="E255" s="59" t="n"/>
      <c r="F255" s="59" t="n"/>
      <c r="G255" s="59" t="n"/>
      <c r="H255" s="59" t="n"/>
      <c r="I255" s="59" t="n"/>
      <c r="J255" s="61" t="n"/>
      <c r="K255" s="59" t="n"/>
      <c r="L255" s="62" t="n"/>
      <c r="M255" s="59" t="n"/>
      <c r="N255" s="17" t="n"/>
    </row>
    <row r="256" ht="72.75" customHeight="1">
      <c r="A256" s="63" t="n"/>
      <c r="B256" s="63" t="n"/>
      <c r="C256" s="64" t="n"/>
      <c r="D256" s="63" t="n"/>
      <c r="E256" s="63" t="n"/>
      <c r="F256" s="63" t="n"/>
      <c r="G256" s="63" t="n"/>
      <c r="H256" s="63" t="n"/>
      <c r="I256" s="63" t="n"/>
      <c r="J256" s="65" t="n"/>
      <c r="K256" s="63" t="n"/>
      <c r="L256" s="15" t="n"/>
      <c r="M256" s="63" t="n"/>
      <c r="N256" s="16" t="n"/>
    </row>
    <row r="257" ht="101.25" customHeight="1">
      <c r="A257" s="59" t="n"/>
      <c r="B257" s="59" t="n"/>
      <c r="C257" s="60" t="n"/>
      <c r="D257" s="59" t="n"/>
      <c r="E257" s="59" t="n"/>
      <c r="F257" s="59" t="n"/>
      <c r="G257" s="59" t="n"/>
      <c r="H257" s="59" t="n"/>
      <c r="I257" s="59" t="n"/>
      <c r="J257" s="61" t="n"/>
      <c r="K257" s="59" t="n"/>
      <c r="L257" s="62" t="n"/>
      <c r="M257" s="59" t="n"/>
      <c r="N257" s="17" t="n"/>
    </row>
    <row r="258" ht="72.75" customHeight="1">
      <c r="A258" s="63" t="n"/>
      <c r="B258" s="63" t="n"/>
      <c r="C258" s="64" t="n"/>
      <c r="D258" s="63" t="n"/>
      <c r="E258" s="63" t="n"/>
      <c r="F258" s="63" t="n"/>
      <c r="G258" s="63" t="n"/>
      <c r="H258" s="63" t="n"/>
      <c r="I258" s="63" t="n"/>
      <c r="J258" s="65" t="n"/>
      <c r="K258" s="63" t="n"/>
      <c r="L258" s="15" t="n"/>
      <c r="M258" s="63" t="n"/>
      <c r="N258" s="16" t="n"/>
    </row>
    <row r="259" ht="72.75" customHeight="1">
      <c r="A259" s="59" t="n"/>
      <c r="B259" s="59" t="n"/>
      <c r="C259" s="60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62" t="n"/>
      <c r="M259" s="59" t="n"/>
      <c r="N259" s="17" t="n"/>
    </row>
    <row r="260" ht="87" customHeight="1">
      <c r="A260" s="63" t="n"/>
      <c r="B260" s="63" t="n"/>
      <c r="C260" s="64" t="n"/>
      <c r="D260" s="63" t="n"/>
      <c r="E260" s="63" t="n"/>
      <c r="F260" s="63" t="n"/>
      <c r="G260" s="63" t="n"/>
      <c r="H260" s="63" t="n"/>
      <c r="I260" s="63" t="n"/>
      <c r="J260" s="65" t="n"/>
      <c r="K260" s="63" t="n"/>
      <c r="L260" s="15" t="n"/>
      <c r="M260" s="63" t="n"/>
      <c r="N260" s="63" t="n"/>
    </row>
    <row r="261" ht="87" customHeight="1">
      <c r="A261" s="59" t="n"/>
      <c r="B261" s="59" t="n"/>
      <c r="C261" s="60" t="n"/>
      <c r="D261" s="59" t="n"/>
      <c r="E261" s="59" t="n"/>
      <c r="F261" s="59" t="n"/>
      <c r="G261" s="59" t="n"/>
      <c r="H261" s="59" t="n"/>
      <c r="I261" s="59" t="n"/>
      <c r="J261" s="61" t="n"/>
      <c r="K261" s="59" t="n"/>
      <c r="L261" s="62" t="n"/>
      <c r="M261" s="59" t="n"/>
      <c r="N261" s="17" t="n"/>
    </row>
    <row r="262" ht="101.25" customHeight="1">
      <c r="A262" s="63" t="n"/>
      <c r="B262" s="63" t="n"/>
      <c r="C262" s="64" t="n"/>
      <c r="D262" s="63" t="n"/>
      <c r="E262" s="63" t="n"/>
      <c r="F262" s="63" t="n"/>
      <c r="G262" s="63" t="n"/>
      <c r="H262" s="63" t="n"/>
      <c r="I262" s="63" t="n"/>
      <c r="J262" s="65" t="n"/>
      <c r="K262" s="63" t="n"/>
      <c r="L262" s="15" t="n"/>
      <c r="M262" s="63" t="n"/>
      <c r="N262" s="16" t="n"/>
    </row>
    <row r="263" ht="87" customHeight="1">
      <c r="A263" s="59" t="n"/>
      <c r="B263" s="59" t="n"/>
      <c r="C263" s="60" t="n"/>
      <c r="D263" s="59" t="n"/>
      <c r="E263" s="59" t="n"/>
      <c r="F263" s="59" t="n"/>
      <c r="G263" s="59" t="n"/>
      <c r="H263" s="59" t="n"/>
      <c r="I263" s="59" t="n"/>
      <c r="J263" s="61" t="n"/>
      <c r="K263" s="59" t="n"/>
      <c r="L263" s="62" t="n"/>
      <c r="M263" s="59" t="n"/>
      <c r="N263" s="17" t="n"/>
    </row>
    <row r="264" ht="87" customHeight="1">
      <c r="A264" s="63" t="n"/>
      <c r="B264" s="63" t="n"/>
      <c r="C264" s="64" t="n"/>
      <c r="D264" s="63" t="n"/>
      <c r="E264" s="63" t="n"/>
      <c r="F264" s="63" t="n"/>
      <c r="G264" s="63" t="n"/>
      <c r="H264" s="63" t="n"/>
      <c r="I264" s="63" t="n"/>
      <c r="J264" s="65" t="n"/>
      <c r="K264" s="63" t="n"/>
      <c r="L264" s="15" t="n"/>
      <c r="M264" s="63" t="n"/>
      <c r="N264" s="16" t="n"/>
    </row>
    <row r="265" ht="87" customHeight="1">
      <c r="A265" s="59" t="n"/>
      <c r="B265" s="59" t="n"/>
      <c r="C265" s="60" t="n"/>
      <c r="D265" s="59" t="n"/>
      <c r="E265" s="59" t="n"/>
      <c r="F265" s="59" t="n"/>
      <c r="G265" s="59" t="n"/>
      <c r="H265" s="59" t="n"/>
      <c r="I265" s="59" t="n"/>
      <c r="J265" s="61" t="n"/>
      <c r="K265" s="59" t="n"/>
      <c r="L265" s="62" t="n"/>
      <c r="M265" s="59" t="n"/>
      <c r="N265" s="17" t="n"/>
    </row>
    <row r="266" ht="87" customHeight="1">
      <c r="A266" s="63" t="n"/>
      <c r="B266" s="63" t="n"/>
      <c r="C266" s="64" t="n"/>
      <c r="D266" s="63" t="n"/>
      <c r="E266" s="63" t="n"/>
      <c r="F266" s="63" t="n"/>
      <c r="G266" s="63" t="n"/>
      <c r="H266" s="63" t="n"/>
      <c r="I266" s="63" t="n"/>
      <c r="J266" s="65" t="n"/>
      <c r="K266" s="63" t="n"/>
      <c r="L266" s="15" t="n"/>
      <c r="M266" s="63" t="n"/>
      <c r="N266" s="16" t="n"/>
    </row>
    <row r="267">
      <c r="A267" s="59" t="n"/>
      <c r="B267" s="59" t="n"/>
      <c r="C267" s="60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62" t="n"/>
      <c r="M267" s="59" t="n"/>
      <c r="N267" s="17" t="n"/>
    </row>
    <row r="268" ht="260.25" customHeight="1">
      <c r="A268" s="63" t="n"/>
      <c r="B268" s="63" t="n"/>
      <c r="C268" s="64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15" t="n"/>
      <c r="M268" s="63" t="n"/>
      <c r="N268" s="16" t="n"/>
    </row>
    <row r="269" ht="43.5" customHeight="1">
      <c r="A269" s="59" t="n"/>
      <c r="B269" s="59" t="n"/>
      <c r="C269" s="60" t="n"/>
      <c r="D269" s="59" t="n"/>
      <c r="E269" s="59" t="n"/>
      <c r="F269" s="59" t="n"/>
      <c r="G269" s="59" t="n"/>
      <c r="H269" s="59" t="n"/>
      <c r="I269" s="59" t="n"/>
      <c r="J269" s="61" t="n"/>
      <c r="K269" s="59" t="n"/>
      <c r="L269" s="62" t="n"/>
      <c r="M269" s="59" t="n"/>
      <c r="N269" s="59" t="n"/>
    </row>
    <row r="270" ht="159" customHeight="1">
      <c r="A270" s="63" t="n"/>
      <c r="B270" s="63" t="n"/>
      <c r="C270" s="64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15" t="n"/>
      <c r="M270" s="63" t="n"/>
      <c r="N270" s="16" t="n"/>
    </row>
    <row r="271">
      <c r="A271" s="59" t="n"/>
      <c r="B271" s="59" t="n"/>
      <c r="C271" s="60" t="n"/>
      <c r="D271" s="59" t="n"/>
      <c r="E271" s="59" t="n"/>
      <c r="F271" s="59" t="n"/>
      <c r="G271" s="59" t="n"/>
      <c r="H271" s="59" t="n"/>
      <c r="I271" s="59" t="n"/>
      <c r="J271" s="61" t="n"/>
      <c r="K271" s="59" t="n"/>
      <c r="L271" s="62" t="n"/>
      <c r="M271" s="59" t="n"/>
      <c r="N271" s="17" t="n"/>
    </row>
    <row r="272" ht="29.25" customHeight="1">
      <c r="A272" s="63" t="n"/>
      <c r="B272" s="63" t="n"/>
      <c r="C272" s="64" t="n"/>
      <c r="D272" s="63" t="n"/>
      <c r="E272" s="63" t="n"/>
      <c r="F272" s="63" t="n"/>
      <c r="G272" s="63" t="n"/>
      <c r="H272" s="63" t="n"/>
      <c r="I272" s="63" t="n"/>
      <c r="J272" s="65" t="n"/>
      <c r="K272" s="63" t="n"/>
      <c r="L272" s="15" t="n"/>
      <c r="M272" s="63" t="n"/>
      <c r="N272" s="63" t="n"/>
    </row>
    <row r="273" ht="130.5" customHeight="1">
      <c r="A273" s="59" t="n"/>
      <c r="B273" s="59" t="n"/>
      <c r="C273" s="60" t="n"/>
      <c r="D273" s="59" t="n"/>
      <c r="E273" s="59" t="n"/>
      <c r="F273" s="59" t="n"/>
      <c r="G273" s="59" t="n"/>
      <c r="H273" s="59" t="n"/>
      <c r="I273" s="59" t="n"/>
      <c r="J273" s="61" t="n"/>
      <c r="K273" s="59" t="n"/>
      <c r="L273" s="62" t="n"/>
      <c r="M273" s="59" t="n"/>
      <c r="N273" s="17" t="n"/>
    </row>
    <row r="274" ht="29.25" customHeight="1">
      <c r="A274" s="63" t="n"/>
      <c r="B274" s="63" t="n"/>
      <c r="C274" s="64" t="n"/>
      <c r="D274" s="63" t="n"/>
      <c r="E274" s="63" t="n"/>
      <c r="F274" s="63" t="n"/>
      <c r="G274" s="63" t="n"/>
      <c r="H274" s="63" t="n"/>
      <c r="I274" s="63" t="n"/>
      <c r="J274" s="65" t="n"/>
      <c r="K274" s="63" t="n"/>
      <c r="L274" s="15" t="n"/>
      <c r="M274" s="63" t="n"/>
      <c r="N274" s="16" t="n"/>
    </row>
    <row r="275" ht="115.5" customHeight="1">
      <c r="A275" s="59" t="n"/>
      <c r="B275" s="59" t="n"/>
      <c r="C275" s="60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62" t="n"/>
      <c r="M275" s="59" t="n"/>
      <c r="N275" s="17" t="n"/>
    </row>
    <row r="276" ht="101.25" customHeight="1">
      <c r="A276" s="63" t="n"/>
      <c r="B276" s="63" t="n"/>
      <c r="C276" s="64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15" t="n"/>
      <c r="M276" s="63" t="n"/>
      <c r="N276" s="16" t="n"/>
    </row>
    <row r="277" ht="43.5" customHeight="1">
      <c r="A277" s="59" t="n"/>
      <c r="B277" s="59" t="n"/>
      <c r="C277" s="60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62" t="n"/>
      <c r="M277" s="59" t="n"/>
      <c r="N277" s="17" t="n"/>
    </row>
    <row r="278" ht="115.5" customHeight="1">
      <c r="A278" s="63" t="n"/>
      <c r="B278" s="63" t="n"/>
      <c r="C278" s="64" t="n"/>
      <c r="D278" s="63" t="n"/>
      <c r="E278" s="63" t="n"/>
      <c r="F278" s="63" t="n"/>
      <c r="G278" s="63" t="n"/>
      <c r="H278" s="63" t="n"/>
      <c r="I278" s="63" t="n"/>
      <c r="J278" s="65" t="n"/>
      <c r="K278" s="63" t="n"/>
      <c r="L278" s="15" t="n"/>
      <c r="M278" s="63" t="n"/>
      <c r="N278" s="16" t="n"/>
    </row>
    <row r="279" ht="87" customHeight="1">
      <c r="A279" s="59" t="n"/>
      <c r="B279" s="59" t="n"/>
      <c r="C279" s="60" t="n"/>
      <c r="D279" s="59" t="n"/>
      <c r="E279" s="59" t="n"/>
      <c r="F279" s="59" t="n"/>
      <c r="G279" s="59" t="n"/>
      <c r="H279" s="59" t="n"/>
      <c r="I279" s="59" t="n"/>
      <c r="J279" s="61" t="n"/>
      <c r="K279" s="59" t="n"/>
      <c r="L279" s="62" t="n"/>
      <c r="M279" s="59" t="n"/>
      <c r="N279" s="17" t="n"/>
    </row>
    <row r="280" ht="159" customHeight="1">
      <c r="A280" s="63" t="n"/>
      <c r="B280" s="63" t="n"/>
      <c r="C280" s="64" t="n"/>
      <c r="D280" s="63" t="n"/>
      <c r="E280" s="63" t="n"/>
      <c r="F280" s="63" t="n"/>
      <c r="G280" s="63" t="n"/>
      <c r="H280" s="63" t="n"/>
      <c r="I280" s="63" t="n"/>
      <c r="J280" s="65" t="n"/>
      <c r="K280" s="63" t="n"/>
      <c r="L280" s="15" t="n"/>
      <c r="M280" s="63" t="n"/>
      <c r="N280" s="63" t="n"/>
    </row>
    <row r="281" ht="57.75" customHeight="1">
      <c r="A281" s="59" t="n"/>
      <c r="B281" s="59" t="n"/>
      <c r="C281" s="60" t="n"/>
      <c r="D281" s="59" t="n"/>
      <c r="E281" s="59" t="n"/>
      <c r="F281" s="59" t="n"/>
      <c r="G281" s="59" t="n"/>
      <c r="H281" s="59" t="n"/>
      <c r="I281" s="59" t="n"/>
      <c r="J281" s="61" t="n"/>
      <c r="K281" s="59" t="n"/>
      <c r="L281" s="62" t="n"/>
      <c r="M281" s="59" t="n"/>
      <c r="N281" s="59" t="n"/>
    </row>
    <row r="282" ht="43.5" customHeight="1">
      <c r="A282" s="63" t="n"/>
      <c r="B282" s="63" t="n"/>
      <c r="C282" s="64" t="n"/>
      <c r="D282" s="63" t="n"/>
      <c r="E282" s="63" t="n"/>
      <c r="F282" s="63" t="n"/>
      <c r="G282" s="63" t="n"/>
      <c r="H282" s="63" t="n"/>
      <c r="I282" s="63" t="n"/>
      <c r="J282" s="65" t="n"/>
      <c r="K282" s="63" t="n"/>
      <c r="L282" s="15" t="n"/>
      <c r="M282" s="63" t="n"/>
      <c r="N282" s="16" t="n"/>
    </row>
    <row r="283" ht="57.75" customHeight="1">
      <c r="A283" s="59" t="n"/>
      <c r="B283" s="59" t="n"/>
      <c r="C283" s="60" t="n"/>
      <c r="D283" s="59" t="n"/>
      <c r="E283" s="59" t="n"/>
      <c r="F283" s="59" t="n"/>
      <c r="G283" s="59" t="n"/>
      <c r="H283" s="59" t="n"/>
      <c r="I283" s="59" t="n"/>
      <c r="J283" s="61" t="n"/>
      <c r="K283" s="59" t="n"/>
      <c r="L283" s="62" t="n"/>
      <c r="M283" s="59" t="n"/>
      <c r="N283" s="17" t="n"/>
    </row>
    <row r="284" ht="43.5" customHeight="1">
      <c r="A284" s="63" t="n"/>
      <c r="B284" s="63" t="n"/>
      <c r="C284" s="64" t="n"/>
      <c r="D284" s="63" t="n"/>
      <c r="E284" s="63" t="n"/>
      <c r="F284" s="63" t="n"/>
      <c r="G284" s="63" t="n"/>
      <c r="H284" s="63" t="n"/>
      <c r="I284" s="63" t="n"/>
      <c r="J284" s="65" t="n"/>
      <c r="K284" s="63" t="n"/>
      <c r="L284" s="15" t="n"/>
      <c r="M284" s="63" t="n"/>
      <c r="N284" s="63" t="n"/>
    </row>
    <row r="285" ht="29.25" customHeight="1">
      <c r="A285" s="59" t="n"/>
      <c r="B285" s="59" t="n"/>
      <c r="C285" s="60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62" t="n"/>
      <c r="M285" s="59" t="n"/>
      <c r="N285" s="17" t="n"/>
    </row>
    <row r="286" ht="87" customHeight="1">
      <c r="A286" s="63" t="n"/>
      <c r="B286" s="63" t="n"/>
      <c r="C286" s="64" t="n"/>
      <c r="D286" s="63" t="n"/>
      <c r="E286" s="63" t="n"/>
      <c r="F286" s="63" t="n"/>
      <c r="G286" s="63" t="n"/>
      <c r="H286" s="63" t="n"/>
      <c r="I286" s="63" t="n"/>
      <c r="J286" s="65" t="n"/>
      <c r="K286" s="63" t="n"/>
      <c r="L286" s="15" t="n"/>
      <c r="M286" s="63" t="n"/>
      <c r="N286" s="63" t="n"/>
    </row>
    <row r="287" ht="87" customHeight="1">
      <c r="A287" s="59" t="n"/>
      <c r="B287" s="59" t="n"/>
      <c r="C287" s="60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62" t="n"/>
      <c r="M287" s="59" t="n"/>
      <c r="N287" s="17" t="n"/>
    </row>
    <row r="288" ht="87" customHeight="1">
      <c r="A288" s="63" t="n"/>
      <c r="B288" s="63" t="n"/>
      <c r="C288" s="64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15" t="n"/>
      <c r="M288" s="63" t="n"/>
      <c r="N288" s="16" t="n"/>
    </row>
    <row r="289" ht="87" customHeight="1">
      <c r="A289" s="59" t="n"/>
      <c r="B289" s="59" t="n"/>
      <c r="C289" s="60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62" t="n"/>
      <c r="M289" s="59" t="n"/>
      <c r="N289" s="17" t="n"/>
    </row>
    <row r="290" ht="87" customHeight="1">
      <c r="A290" s="63" t="n"/>
      <c r="B290" s="63" t="n"/>
      <c r="C290" s="64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15" t="n"/>
      <c r="M290" s="63" t="n"/>
      <c r="N290" s="63" t="n"/>
    </row>
    <row r="291" ht="144.75" customHeight="1">
      <c r="A291" s="59" t="n"/>
      <c r="B291" s="59" t="n"/>
      <c r="C291" s="60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62" t="n"/>
      <c r="M291" s="59" t="n"/>
      <c r="N291" s="17" t="n"/>
    </row>
    <row r="292" ht="174" customHeight="1">
      <c r="A292" s="63" t="n"/>
      <c r="B292" s="63" t="n"/>
      <c r="C292" s="64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15" t="n"/>
      <c r="M292" s="63" t="n"/>
      <c r="N292" s="16" t="n"/>
    </row>
    <row r="293" ht="57.75" customHeight="1">
      <c r="A293" s="59" t="n"/>
      <c r="B293" s="59" t="n"/>
      <c r="C293" s="60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62" t="n"/>
      <c r="M293" s="59" t="n"/>
      <c r="N293" s="17" t="n"/>
    </row>
    <row r="294" ht="409.6" customHeight="1">
      <c r="A294" s="63" t="n"/>
      <c r="B294" s="63" t="n"/>
      <c r="C294" s="64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15" t="n"/>
      <c r="M294" s="63" t="n"/>
      <c r="N294" s="63" t="n"/>
    </row>
    <row r="295" ht="130.5" customHeight="1">
      <c r="A295" s="59" t="n"/>
      <c r="B295" s="59" t="n"/>
      <c r="C295" s="60" t="n"/>
      <c r="D295" s="59" t="n"/>
      <c r="E295" s="59" t="n"/>
      <c r="F295" s="59" t="n"/>
      <c r="G295" s="59" t="n"/>
      <c r="H295" s="59" t="n"/>
      <c r="I295" s="59" t="n"/>
      <c r="J295" s="61" t="n"/>
      <c r="K295" s="59" t="n"/>
      <c r="L295" s="62" t="n"/>
      <c r="M295" s="59" t="n"/>
      <c r="N295" s="17" t="n"/>
    </row>
    <row r="296" ht="43.5" customHeight="1">
      <c r="A296" s="63" t="n"/>
      <c r="B296" s="63" t="n"/>
      <c r="C296" s="64" t="n"/>
      <c r="D296" s="63" t="n"/>
      <c r="E296" s="63" t="n"/>
      <c r="F296" s="63" t="n"/>
      <c r="G296" s="63" t="n"/>
      <c r="H296" s="63" t="n"/>
      <c r="I296" s="63" t="n"/>
      <c r="J296" s="65" t="n"/>
      <c r="K296" s="63" t="n"/>
      <c r="L296" s="15" t="n"/>
      <c r="M296" s="63" t="n"/>
      <c r="N296" s="16" t="n"/>
    </row>
    <row r="297" ht="87" customHeight="1">
      <c r="A297" s="59" t="n"/>
      <c r="B297" s="59" t="n"/>
      <c r="C297" s="60" t="n"/>
      <c r="D297" s="59" t="n"/>
      <c r="E297" s="59" t="n"/>
      <c r="F297" s="59" t="n"/>
      <c r="G297" s="59" t="n"/>
      <c r="H297" s="59" t="n"/>
      <c r="I297" s="59" t="n"/>
      <c r="J297" s="61" t="n"/>
      <c r="K297" s="59" t="n"/>
      <c r="L297" s="62" t="n"/>
      <c r="M297" s="59" t="n"/>
      <c r="N297" s="17" t="n"/>
    </row>
    <row r="298" ht="72.75" customHeight="1">
      <c r="A298" s="63" t="n"/>
      <c r="B298" s="63" t="n"/>
      <c r="C298" s="64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15" t="n"/>
      <c r="M298" s="63" t="n"/>
      <c r="N298" s="16" t="n"/>
    </row>
    <row r="299" ht="87" customHeight="1">
      <c r="A299" s="59" t="n"/>
      <c r="B299" s="59" t="n"/>
      <c r="C299" s="60" t="n"/>
      <c r="D299" s="59" t="n"/>
      <c r="E299" s="59" t="n"/>
      <c r="F299" s="59" t="n"/>
      <c r="G299" s="59" t="n"/>
      <c r="H299" s="59" t="n"/>
      <c r="I299" s="59" t="n"/>
      <c r="J299" s="61" t="n"/>
      <c r="K299" s="59" t="n"/>
      <c r="L299" s="62" t="n"/>
      <c r="M299" s="59" t="n"/>
      <c r="N299" s="17" t="n"/>
    </row>
    <row r="300" ht="87" customHeight="1">
      <c r="A300" s="63" t="n"/>
      <c r="B300" s="63" t="n"/>
      <c r="C300" s="64" t="n"/>
      <c r="D300" s="63" t="n"/>
      <c r="E300" s="63" t="n"/>
      <c r="F300" s="63" t="n"/>
      <c r="G300" s="63" t="n"/>
      <c r="H300" s="63" t="n"/>
      <c r="I300" s="63" t="n"/>
      <c r="J300" s="65" t="n"/>
      <c r="K300" s="63" t="n"/>
      <c r="L300" s="15" t="n"/>
      <c r="M300" s="63" t="n"/>
      <c r="N300" s="16" t="n"/>
    </row>
    <row r="301" ht="115.5" customHeight="1">
      <c r="A301" s="59" t="n"/>
      <c r="B301" s="59" t="n"/>
      <c r="C301" s="60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62" t="n"/>
      <c r="M301" s="59" t="n"/>
      <c r="N301" s="17" t="n"/>
    </row>
    <row r="302" ht="29.25" customHeight="1">
      <c r="A302" s="63" t="n"/>
      <c r="B302" s="63" t="n"/>
      <c r="C302" s="64" t="n"/>
      <c r="D302" s="63" t="n"/>
      <c r="E302" s="63" t="n"/>
      <c r="F302" s="63" t="n"/>
      <c r="G302" s="63" t="n"/>
      <c r="H302" s="63" t="n"/>
      <c r="I302" s="63" t="n"/>
      <c r="J302" s="65" t="n"/>
      <c r="K302" s="63" t="n"/>
      <c r="L302" s="15" t="n"/>
      <c r="M302" s="63" t="n"/>
      <c r="N302" s="16" t="n"/>
    </row>
    <row r="303" ht="115.5" customHeight="1">
      <c r="A303" s="59" t="n"/>
      <c r="B303" s="59" t="n"/>
      <c r="C303" s="60" t="n"/>
      <c r="D303" s="59" t="n"/>
      <c r="E303" s="59" t="n"/>
      <c r="F303" s="59" t="n"/>
      <c r="G303" s="59" t="n"/>
      <c r="H303" s="59" t="n"/>
      <c r="I303" s="59" t="n"/>
      <c r="J303" s="61" t="n"/>
      <c r="K303" s="59" t="n"/>
      <c r="L303" s="62" t="n"/>
      <c r="M303" s="59" t="n"/>
      <c r="N303" s="17" t="n"/>
    </row>
    <row r="304" ht="318" customHeight="1">
      <c r="A304" s="63" t="n"/>
      <c r="B304" s="63" t="n"/>
      <c r="C304" s="64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15" t="n"/>
      <c r="M304" s="63" t="n"/>
      <c r="N304" s="63" t="n"/>
    </row>
    <row r="305" ht="115.5" customHeight="1">
      <c r="A305" s="59" t="n"/>
      <c r="B305" s="59" t="n"/>
      <c r="C305" s="60" t="n"/>
      <c r="D305" s="59" t="n"/>
      <c r="E305" s="59" t="n"/>
      <c r="F305" s="59" t="n"/>
      <c r="G305" s="59" t="n"/>
      <c r="H305" s="59" t="n"/>
      <c r="I305" s="59" t="n"/>
      <c r="J305" s="61" t="n"/>
      <c r="K305" s="59" t="n"/>
      <c r="L305" s="62" t="n"/>
      <c r="M305" s="59" t="n"/>
      <c r="N305" s="59" t="n"/>
    </row>
    <row r="306" ht="87" customHeight="1">
      <c r="A306" s="63" t="n"/>
      <c r="B306" s="63" t="n"/>
      <c r="C306" s="64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15" t="n"/>
      <c r="M306" s="63" t="n"/>
      <c r="N306" s="16" t="n"/>
    </row>
    <row r="307" ht="87" customHeight="1">
      <c r="A307" s="59" t="n"/>
      <c r="B307" s="59" t="n"/>
      <c r="C307" s="60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62" t="n"/>
      <c r="M307" s="59" t="n"/>
      <c r="N307" s="17" t="n"/>
    </row>
    <row r="308" ht="87" customHeight="1">
      <c r="A308" s="63" t="n"/>
      <c r="B308" s="63" t="n"/>
      <c r="C308" s="64" t="n"/>
      <c r="D308" s="63" t="n"/>
      <c r="E308" s="63" t="n"/>
      <c r="F308" s="63" t="n"/>
      <c r="G308" s="63" t="n"/>
      <c r="H308" s="63" t="n"/>
      <c r="I308" s="63" t="n"/>
      <c r="J308" s="65" t="n"/>
      <c r="K308" s="63" t="n"/>
      <c r="L308" s="15" t="n"/>
      <c r="M308" s="63" t="n"/>
      <c r="N308" s="16" t="n"/>
    </row>
    <row r="309" ht="57.75" customHeight="1">
      <c r="A309" s="59" t="n"/>
      <c r="B309" s="59" t="n"/>
      <c r="C309" s="60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62" t="n"/>
      <c r="M309" s="59" t="n"/>
      <c r="N309" s="17" t="n"/>
    </row>
    <row r="310" ht="115.5" customHeight="1">
      <c r="A310" s="63" t="n"/>
      <c r="B310" s="63" t="n"/>
      <c r="C310" s="64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15" t="n"/>
      <c r="M310" s="63" t="n"/>
      <c r="N310" s="63" t="n"/>
    </row>
    <row r="311" ht="101.25" customHeight="1">
      <c r="A311" s="59" t="n"/>
      <c r="B311" s="59" t="n"/>
      <c r="C311" s="60" t="n"/>
      <c r="D311" s="59" t="n"/>
      <c r="E311" s="59" t="n"/>
      <c r="F311" s="59" t="n"/>
      <c r="G311" s="59" t="n"/>
      <c r="H311" s="59" t="n"/>
      <c r="I311" s="59" t="n"/>
      <c r="J311" s="61" t="n"/>
      <c r="K311" s="59" t="n"/>
      <c r="L311" s="62" t="n"/>
      <c r="M311" s="59" t="n"/>
      <c r="N311" s="17" t="n"/>
    </row>
    <row r="312" ht="201.75" customHeight="1">
      <c r="A312" s="63" t="n"/>
      <c r="B312" s="63" t="n"/>
      <c r="C312" s="64" t="n"/>
      <c r="D312" s="63" t="n"/>
      <c r="E312" s="63" t="n"/>
      <c r="F312" s="63" t="n"/>
      <c r="G312" s="63" t="n"/>
      <c r="H312" s="63" t="n"/>
      <c r="I312" s="63" t="n"/>
      <c r="J312" s="65" t="n"/>
      <c r="K312" s="63" t="n"/>
      <c r="L312" s="15" t="n"/>
      <c r="M312" s="63" t="n"/>
      <c r="N312" s="63" t="n"/>
    </row>
    <row r="313" ht="72.75" customHeight="1">
      <c r="A313" s="59" t="n"/>
      <c r="B313" s="59" t="n"/>
      <c r="C313" s="60" t="n"/>
      <c r="D313" s="59" t="n"/>
      <c r="E313" s="59" t="n"/>
      <c r="F313" s="59" t="n"/>
      <c r="G313" s="59" t="n"/>
      <c r="H313" s="59" t="n"/>
      <c r="I313" s="59" t="n"/>
      <c r="J313" s="61" t="n"/>
      <c r="K313" s="59" t="n"/>
      <c r="L313" s="62" t="n"/>
      <c r="M313" s="59" t="n"/>
      <c r="N313" s="59" t="n"/>
    </row>
    <row r="314" ht="115.5" customHeight="1">
      <c r="A314" s="63" t="n"/>
      <c r="B314" s="63" t="n"/>
      <c r="C314" s="64" t="n"/>
      <c r="D314" s="63" t="n"/>
      <c r="E314" s="63" t="n"/>
      <c r="F314" s="63" t="n"/>
      <c r="G314" s="63" t="n"/>
      <c r="H314" s="63" t="n"/>
      <c r="I314" s="63" t="n"/>
      <c r="J314" s="65" t="n"/>
      <c r="K314" s="63" t="n"/>
      <c r="L314" s="15" t="n"/>
      <c r="M314" s="63" t="n"/>
      <c r="N314" s="16" t="n"/>
    </row>
    <row r="315" ht="29.25" customHeight="1">
      <c r="A315" s="59" t="n"/>
      <c r="B315" s="59" t="n"/>
      <c r="C315" s="60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62" t="n"/>
      <c r="M315" s="59" t="n"/>
      <c r="N315" s="59" t="n"/>
    </row>
    <row r="316" ht="43.5" customHeight="1">
      <c r="A316" s="63" t="n"/>
      <c r="B316" s="63" t="n"/>
      <c r="C316" s="64" t="n"/>
      <c r="D316" s="63" t="n"/>
      <c r="E316" s="63" t="n"/>
      <c r="F316" s="63" t="n"/>
      <c r="G316" s="63" t="n"/>
      <c r="H316" s="63" t="n"/>
      <c r="I316" s="63" t="n"/>
      <c r="J316" s="65" t="n"/>
      <c r="K316" s="63" t="n"/>
      <c r="L316" s="15" t="n"/>
      <c r="M316" s="63" t="n"/>
      <c r="N316" s="63" t="n"/>
    </row>
    <row r="317" ht="43.5" customHeight="1">
      <c r="A317" s="59" t="n"/>
      <c r="B317" s="59" t="n"/>
      <c r="C317" s="60" t="n"/>
      <c r="D317" s="59" t="n"/>
      <c r="E317" s="59" t="n"/>
      <c r="F317" s="59" t="n"/>
      <c r="G317" s="59" t="n"/>
      <c r="H317" s="59" t="n"/>
      <c r="I317" s="59" t="n"/>
      <c r="J317" s="61" t="n"/>
      <c r="K317" s="59" t="n"/>
      <c r="L317" s="62" t="n"/>
      <c r="M317" s="59" t="n"/>
      <c r="N317" s="17" t="n"/>
    </row>
    <row r="318" ht="231" customHeight="1">
      <c r="A318" s="63" t="n"/>
      <c r="B318" s="63" t="n"/>
      <c r="C318" s="64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15" t="n"/>
      <c r="M318" s="63" t="n"/>
      <c r="N318" s="16" t="n"/>
    </row>
    <row r="319" ht="87" customHeight="1">
      <c r="A319" s="59" t="n"/>
      <c r="B319" s="59" t="n"/>
      <c r="C319" s="60" t="n"/>
      <c r="D319" s="59" t="n"/>
      <c r="E319" s="59" t="n"/>
      <c r="F319" s="59" t="n"/>
      <c r="G319" s="59" t="n"/>
      <c r="H319" s="59" t="n"/>
      <c r="I319" s="59" t="n"/>
      <c r="J319" s="61" t="n"/>
      <c r="K319" s="59" t="n"/>
      <c r="L319" s="62" t="n"/>
      <c r="M319" s="59" t="n"/>
      <c r="N319" s="17" t="n"/>
    </row>
    <row r="320" ht="245.25" customHeight="1">
      <c r="A320" s="63" t="n"/>
      <c r="B320" s="63" t="n"/>
      <c r="C320" s="64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15" t="n"/>
      <c r="M320" s="63" t="n"/>
      <c r="N320" s="16" t="n"/>
    </row>
    <row r="321" ht="115.5" customHeight="1">
      <c r="A321" s="59" t="n"/>
      <c r="B321" s="59" t="n"/>
      <c r="C321" s="60" t="n"/>
      <c r="D321" s="59" t="n"/>
      <c r="E321" s="59" t="n"/>
      <c r="F321" s="59" t="n"/>
      <c r="G321" s="59" t="n"/>
      <c r="H321" s="59" t="n"/>
      <c r="I321" s="59" t="n"/>
      <c r="J321" s="61" t="n"/>
      <c r="K321" s="59" t="n"/>
      <c r="L321" s="62" t="n"/>
      <c r="M321" s="59" t="n"/>
      <c r="N321" s="17" t="n"/>
    </row>
    <row r="322" ht="101.25" customHeight="1">
      <c r="A322" s="63" t="n"/>
      <c r="B322" s="63" t="n"/>
      <c r="C322" s="64" t="n"/>
      <c r="D322" s="63" t="n"/>
      <c r="E322" s="63" t="n"/>
      <c r="F322" s="63" t="n"/>
      <c r="G322" s="63" t="n"/>
      <c r="H322" s="63" t="n"/>
      <c r="I322" s="63" t="n"/>
      <c r="J322" s="65" t="n"/>
      <c r="K322" s="63" t="n"/>
      <c r="L322" s="15" t="n"/>
      <c r="M322" s="63" t="n"/>
      <c r="N322" s="63" t="n"/>
    </row>
    <row r="323" ht="174" customHeight="1">
      <c r="A323" s="59" t="n"/>
      <c r="B323" s="59" t="n"/>
      <c r="C323" s="60" t="n"/>
      <c r="D323" s="59" t="n"/>
      <c r="E323" s="59" t="n"/>
      <c r="F323" s="59" t="n"/>
      <c r="G323" s="59" t="n"/>
      <c r="H323" s="59" t="n"/>
      <c r="I323" s="59" t="n"/>
      <c r="J323" s="61" t="n"/>
      <c r="K323" s="59" t="n"/>
      <c r="L323" s="62" t="n"/>
      <c r="M323" s="59" t="n"/>
      <c r="N323" s="17" t="n"/>
    </row>
    <row r="324" ht="231" customHeight="1">
      <c r="A324" s="63" t="n"/>
      <c r="B324" s="63" t="n"/>
      <c r="C324" s="64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15" t="n"/>
      <c r="M324" s="63" t="n"/>
      <c r="N324" s="63" t="n"/>
    </row>
    <row r="325" ht="159" customHeight="1">
      <c r="A325" s="59" t="n"/>
      <c r="B325" s="59" t="n"/>
      <c r="C325" s="60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62" t="n"/>
      <c r="M325" s="59" t="n"/>
      <c r="N325" s="59" t="n"/>
    </row>
    <row r="326" ht="231" customHeight="1">
      <c r="A326" s="63" t="n"/>
      <c r="B326" s="63" t="n"/>
      <c r="C326" s="64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15" t="n"/>
      <c r="M326" s="63" t="n"/>
      <c r="N326" s="63" t="n"/>
    </row>
    <row r="327" ht="43.5" customHeight="1">
      <c r="A327" s="59" t="n"/>
      <c r="B327" s="59" t="n"/>
      <c r="C327" s="60" t="n"/>
      <c r="D327" s="59" t="n"/>
      <c r="E327" s="59" t="n"/>
      <c r="F327" s="59" t="n"/>
      <c r="G327" s="59" t="n"/>
      <c r="H327" s="59" t="n"/>
      <c r="I327" s="59" t="n"/>
      <c r="J327" s="61" t="n"/>
      <c r="K327" s="59" t="n"/>
      <c r="L327" s="62" t="n"/>
      <c r="M327" s="59" t="n"/>
      <c r="N327" s="59" t="n"/>
    </row>
    <row r="328" ht="188.25" customHeight="1">
      <c r="A328" s="63" t="n"/>
      <c r="B328" s="63" t="n"/>
      <c r="C328" s="64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15" t="n"/>
      <c r="M328" s="63" t="n"/>
      <c r="N328" s="63" t="n"/>
    </row>
    <row r="329" ht="115.5" customHeight="1">
      <c r="A329" s="59" t="n"/>
      <c r="B329" s="59" t="n"/>
      <c r="C329" s="60" t="n"/>
      <c r="D329" s="59" t="n"/>
      <c r="E329" s="59" t="n"/>
      <c r="F329" s="59" t="n"/>
      <c r="G329" s="59" t="n"/>
      <c r="H329" s="59" t="n"/>
      <c r="I329" s="59" t="n"/>
      <c r="J329" s="61" t="n"/>
      <c r="K329" s="59" t="n"/>
      <c r="L329" s="62" t="n"/>
      <c r="M329" s="59" t="n"/>
      <c r="N329" s="59" t="n"/>
    </row>
    <row r="330" ht="101.25" customHeight="1">
      <c r="A330" s="63" t="n"/>
      <c r="B330" s="63" t="n"/>
      <c r="C330" s="64" t="n"/>
      <c r="D330" s="63" t="n"/>
      <c r="E330" s="63" t="n"/>
      <c r="F330" s="63" t="n"/>
      <c r="G330" s="63" t="n"/>
      <c r="H330" s="63" t="n"/>
      <c r="I330" s="63" t="n"/>
      <c r="J330" s="65" t="n"/>
      <c r="K330" s="63" t="n"/>
      <c r="L330" s="15" t="n"/>
      <c r="M330" s="63" t="n"/>
      <c r="N330" s="16" t="n"/>
    </row>
    <row r="331" ht="130.5" customHeight="1">
      <c r="A331" s="59" t="n"/>
      <c r="B331" s="59" t="n"/>
      <c r="C331" s="60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62" t="n"/>
      <c r="M331" s="59" t="n"/>
      <c r="N331" s="59" t="n"/>
    </row>
    <row r="332" ht="130.5" customHeight="1">
      <c r="A332" s="63" t="n"/>
      <c r="B332" s="63" t="n"/>
      <c r="C332" s="64" t="n"/>
      <c r="D332" s="63" t="n"/>
      <c r="E332" s="63" t="n"/>
      <c r="F332" s="63" t="n"/>
      <c r="G332" s="63" t="n"/>
      <c r="H332" s="63" t="n"/>
      <c r="I332" s="63" t="n"/>
      <c r="J332" s="65" t="n"/>
      <c r="K332" s="63" t="n"/>
      <c r="L332" s="15" t="n"/>
      <c r="M332" s="63" t="n"/>
      <c r="N332" s="16" t="n"/>
    </row>
    <row r="333" ht="101.25" customHeight="1">
      <c r="A333" s="59" t="n"/>
      <c r="B333" s="59" t="n"/>
      <c r="C333" s="60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62" t="n"/>
      <c r="M333" s="59" t="n"/>
      <c r="N333" s="17" t="n"/>
    </row>
    <row r="334" ht="101.25" customHeight="1">
      <c r="A334" s="63" t="n"/>
      <c r="B334" s="63" t="n"/>
      <c r="C334" s="64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15" t="n"/>
      <c r="M334" s="63" t="n"/>
      <c r="N334" s="16" t="n"/>
    </row>
    <row r="335" ht="130.5" customHeight="1">
      <c r="A335" s="59" t="n"/>
      <c r="B335" s="59" t="n"/>
      <c r="C335" s="60" t="n"/>
      <c r="D335" s="59" t="n"/>
      <c r="E335" s="59" t="n"/>
      <c r="F335" s="59" t="n"/>
      <c r="G335" s="59" t="n"/>
      <c r="H335" s="59" t="n"/>
      <c r="I335" s="59" t="n"/>
      <c r="J335" s="61" t="n"/>
      <c r="K335" s="59" t="n"/>
      <c r="L335" s="62" t="n"/>
      <c r="M335" s="59" t="n"/>
      <c r="N335" s="59" t="n"/>
    </row>
    <row r="336" ht="43.5" customHeight="1">
      <c r="A336" s="63" t="n"/>
      <c r="B336" s="63" t="n"/>
      <c r="C336" s="64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15" t="n"/>
      <c r="M336" s="63" t="n"/>
      <c r="N336" s="16" t="n"/>
    </row>
    <row r="337" ht="231.75" customHeight="1">
      <c r="A337" s="59" t="n"/>
      <c r="B337" s="59" t="n"/>
      <c r="C337" s="60" t="n"/>
      <c r="D337" s="59" t="n"/>
      <c r="E337" s="59" t="n"/>
      <c r="F337" s="59" t="n"/>
      <c r="G337" s="59" t="n"/>
      <c r="H337" s="59" t="n"/>
      <c r="I337" s="59" t="n"/>
      <c r="J337" s="61" t="n"/>
      <c r="K337" s="59" t="n"/>
      <c r="L337" s="62" t="n"/>
      <c r="M337" s="59" t="n"/>
      <c r="N337" s="59" t="n"/>
    </row>
    <row r="338" ht="87" customHeight="1">
      <c r="A338" s="63" t="n"/>
      <c r="B338" s="63" t="n"/>
      <c r="C338" s="64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15" t="n"/>
      <c r="M338" s="63" t="n"/>
      <c r="N338" s="63" t="n"/>
    </row>
    <row r="339" ht="101.25" customHeight="1">
      <c r="A339" s="59" t="n"/>
      <c r="B339" s="59" t="n"/>
      <c r="C339" s="60" t="n"/>
      <c r="D339" s="59" t="n"/>
      <c r="E339" s="59" t="n"/>
      <c r="F339" s="59" t="n"/>
      <c r="G339" s="59" t="n"/>
      <c r="H339" s="59" t="n"/>
      <c r="I339" s="59" t="n"/>
      <c r="J339" s="61" t="n"/>
      <c r="K339" s="59" t="n"/>
      <c r="L339" s="62" t="n"/>
      <c r="M339" s="59" t="n"/>
      <c r="N339" s="17" t="n"/>
    </row>
    <row r="340" ht="87" customHeight="1">
      <c r="A340" s="63" t="n"/>
      <c r="B340" s="63" t="n"/>
      <c r="C340" s="64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15" t="n"/>
      <c r="M340" s="63" t="n"/>
      <c r="N340" s="16" t="n"/>
    </row>
    <row r="341" ht="231" customHeight="1">
      <c r="A341" s="59" t="n"/>
      <c r="B341" s="59" t="n"/>
      <c r="C341" s="60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62" t="n"/>
      <c r="M341" s="59" t="n"/>
      <c r="N341" s="59" t="n"/>
    </row>
    <row r="342" ht="101.25" customHeight="1">
      <c r="A342" s="63" t="n"/>
      <c r="B342" s="63" t="n"/>
      <c r="C342" s="64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15" t="n"/>
      <c r="M342" s="63" t="n"/>
      <c r="N342" s="16" t="n"/>
    </row>
    <row r="343" ht="159" customHeight="1">
      <c r="A343" s="59" t="n"/>
      <c r="B343" s="59" t="n"/>
      <c r="C343" s="60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62" t="n"/>
      <c r="M343" s="59" t="n"/>
      <c r="N343" s="17" t="n"/>
    </row>
    <row r="344" ht="57.75" customHeight="1">
      <c r="A344" s="63" t="n"/>
      <c r="B344" s="63" t="n"/>
      <c r="C344" s="64" t="n"/>
      <c r="D344" s="63" t="n"/>
      <c r="E344" s="63" t="n"/>
      <c r="F344" s="63" t="n"/>
      <c r="G344" s="63" t="n"/>
      <c r="H344" s="63" t="n"/>
      <c r="I344" s="63" t="n"/>
      <c r="J344" s="65" t="n"/>
      <c r="K344" s="63" t="n"/>
      <c r="L344" s="15" t="n"/>
      <c r="M344" s="63" t="n"/>
      <c r="N344" s="16" t="n"/>
    </row>
    <row r="345" ht="57.75" customHeight="1">
      <c r="A345" s="59" t="n"/>
      <c r="B345" s="59" t="n"/>
      <c r="C345" s="60" t="n"/>
      <c r="D345" s="59" t="n"/>
      <c r="E345" s="59" t="n"/>
      <c r="F345" s="59" t="n"/>
      <c r="G345" s="59" t="n"/>
      <c r="H345" s="59" t="n"/>
      <c r="I345" s="59" t="n"/>
      <c r="J345" s="61" t="n"/>
      <c r="K345" s="59" t="n"/>
      <c r="L345" s="62" t="n"/>
      <c r="M345" s="59" t="n"/>
      <c r="N345" s="17" t="n"/>
    </row>
    <row r="346" ht="43.5" customHeight="1">
      <c r="A346" s="63" t="n"/>
      <c r="B346" s="63" t="n"/>
      <c r="C346" s="64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15" t="n"/>
      <c r="M346" s="63" t="n"/>
      <c r="N346" s="16" t="n"/>
    </row>
    <row r="347" ht="87" customHeight="1">
      <c r="A347" s="59" t="n"/>
      <c r="B347" s="59" t="n"/>
      <c r="C347" s="60" t="n"/>
      <c r="D347" s="59" t="n"/>
      <c r="E347" s="59" t="n"/>
      <c r="F347" s="59" t="n"/>
      <c r="G347" s="59" t="n"/>
      <c r="H347" s="59" t="n"/>
      <c r="I347" s="59" t="n"/>
      <c r="J347" s="61" t="n"/>
      <c r="K347" s="59" t="n"/>
      <c r="L347" s="62" t="n"/>
      <c r="M347" s="59" t="n"/>
      <c r="N347" s="59" t="n"/>
    </row>
    <row r="348" ht="87" customHeight="1">
      <c r="A348" s="63" t="n"/>
      <c r="B348" s="63" t="n"/>
      <c r="C348" s="64" t="n"/>
      <c r="D348" s="63" t="n"/>
      <c r="E348" s="63" t="n"/>
      <c r="F348" s="63" t="n"/>
      <c r="G348" s="63" t="n"/>
      <c r="H348" s="63" t="n"/>
      <c r="I348" s="63" t="n"/>
      <c r="J348" s="65" t="n"/>
      <c r="K348" s="63" t="n"/>
      <c r="L348" s="15" t="n"/>
      <c r="M348" s="63" t="n"/>
      <c r="N348" s="63" t="n"/>
    </row>
    <row r="349" ht="115.5" customHeight="1">
      <c r="A349" s="59" t="n"/>
      <c r="B349" s="59" t="n"/>
      <c r="C349" s="60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62" t="n"/>
      <c r="M349" s="59" t="n"/>
      <c r="N349" s="17" t="n"/>
    </row>
    <row r="350" ht="144.75" customHeight="1">
      <c r="A350" s="63" t="n"/>
      <c r="B350" s="63" t="n"/>
      <c r="C350" s="64" t="n"/>
      <c r="D350" s="63" t="n"/>
      <c r="E350" s="63" t="n"/>
      <c r="F350" s="63" t="n"/>
      <c r="G350" s="63" t="n"/>
      <c r="H350" s="63" t="n"/>
      <c r="I350" s="63" t="n"/>
      <c r="J350" s="65" t="n"/>
      <c r="K350" s="63" t="n"/>
      <c r="L350" s="15" t="n"/>
      <c r="M350" s="63" t="n"/>
      <c r="N350" s="16" t="n"/>
    </row>
    <row r="351" ht="29.25" customHeight="1">
      <c r="A351" s="59" t="n"/>
      <c r="B351" s="59" t="n"/>
      <c r="C351" s="60" t="n"/>
      <c r="D351" s="59" t="n"/>
      <c r="E351" s="59" t="n"/>
      <c r="F351" s="59" t="n"/>
      <c r="G351" s="59" t="n"/>
      <c r="H351" s="59" t="n"/>
      <c r="I351" s="59" t="n"/>
      <c r="J351" s="61" t="n"/>
      <c r="K351" s="59" t="n"/>
      <c r="L351" s="62" t="n"/>
      <c r="M351" s="59" t="n"/>
      <c r="N351" s="17" t="n"/>
    </row>
    <row r="352" ht="101.25" customHeight="1">
      <c r="A352" s="63" t="n"/>
      <c r="B352" s="63" t="n"/>
      <c r="C352" s="64" t="n"/>
      <c r="D352" s="63" t="n"/>
      <c r="E352" s="63" t="n"/>
      <c r="F352" s="63" t="n"/>
      <c r="G352" s="63" t="n"/>
      <c r="H352" s="63" t="n"/>
      <c r="I352" s="63" t="n"/>
      <c r="J352" s="65" t="n"/>
      <c r="K352" s="63" t="n"/>
      <c r="L352" s="15" t="n"/>
      <c r="M352" s="63" t="n"/>
      <c r="N352" s="63" t="n"/>
    </row>
    <row r="353" ht="115.5" customHeight="1">
      <c r="A353" s="59" t="n"/>
      <c r="B353" s="59" t="n"/>
      <c r="C353" s="60" t="n"/>
      <c r="D353" s="59" t="n"/>
      <c r="E353" s="59" t="n"/>
      <c r="F353" s="59" t="n"/>
      <c r="G353" s="59" t="n"/>
      <c r="H353" s="59" t="n"/>
      <c r="I353" s="59" t="n"/>
      <c r="J353" s="61" t="n"/>
      <c r="K353" s="59" t="n"/>
      <c r="L353" s="62" t="n"/>
      <c r="M353" s="59" t="n"/>
      <c r="N353" s="17" t="n"/>
    </row>
    <row r="354" ht="159" customHeight="1">
      <c r="A354" s="63" t="n"/>
      <c r="B354" s="63" t="n"/>
      <c r="C354" s="64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15" t="n"/>
      <c r="M354" s="63" t="n"/>
      <c r="N354" s="16" t="n"/>
    </row>
    <row r="355" ht="144.75" customHeight="1">
      <c r="A355" s="59" t="n"/>
      <c r="B355" s="59" t="n"/>
      <c r="C355" s="60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62" t="n"/>
      <c r="M355" s="59" t="n"/>
      <c r="N355" s="17" t="n"/>
    </row>
    <row r="356" ht="29.25" customHeight="1">
      <c r="A356" s="63" t="n"/>
      <c r="B356" s="63" t="n"/>
      <c r="C356" s="64" t="n"/>
      <c r="D356" s="63" t="n"/>
      <c r="E356" s="63" t="n"/>
      <c r="F356" s="63" t="n"/>
      <c r="G356" s="63" t="n"/>
      <c r="H356" s="63" t="n"/>
      <c r="I356" s="63" t="n"/>
      <c r="J356" s="65" t="n"/>
      <c r="K356" s="63" t="n"/>
      <c r="L356" s="15" t="n"/>
      <c r="M356" s="63" t="n"/>
      <c r="N356" s="63" t="n"/>
    </row>
    <row r="357">
      <c r="A357" s="59" t="n"/>
      <c r="B357" s="59" t="n"/>
      <c r="C357" s="60" t="n"/>
      <c r="D357" s="59" t="n"/>
      <c r="E357" s="59" t="n"/>
      <c r="F357" s="59" t="n"/>
      <c r="G357" s="59" t="n"/>
      <c r="H357" s="59" t="n"/>
      <c r="I357" s="59" t="n"/>
      <c r="J357" s="61" t="n"/>
      <c r="K357" s="59" t="n"/>
      <c r="L357" s="62" t="n"/>
      <c r="M357" s="59" t="n"/>
      <c r="N357" s="59" t="n"/>
    </row>
    <row r="358" ht="29.25" customHeight="1">
      <c r="A358" s="63" t="n"/>
      <c r="B358" s="63" t="n"/>
      <c r="C358" s="64" t="n"/>
      <c r="D358" s="63" t="n"/>
      <c r="E358" s="63" t="n"/>
      <c r="F358" s="63" t="n"/>
      <c r="G358" s="63" t="n"/>
      <c r="H358" s="63" t="n"/>
      <c r="I358" s="63" t="n"/>
      <c r="J358" s="65" t="n"/>
      <c r="K358" s="63" t="n"/>
      <c r="L358" s="15" t="n"/>
      <c r="M358" s="63" t="n"/>
      <c r="N358" s="63" t="n"/>
    </row>
    <row r="359" ht="87" customHeight="1">
      <c r="A359" s="59" t="n"/>
      <c r="B359" s="59" t="n"/>
      <c r="C359" s="60" t="n"/>
      <c r="D359" s="59" t="n"/>
      <c r="E359" s="59" t="n"/>
      <c r="F359" s="59" t="n"/>
      <c r="G359" s="59" t="n"/>
      <c r="H359" s="59" t="n"/>
      <c r="I359" s="59" t="n"/>
      <c r="J359" s="61" t="n"/>
      <c r="K359" s="59" t="n"/>
      <c r="L359" s="62" t="n"/>
      <c r="M359" s="59" t="n"/>
      <c r="N359" s="17" t="n"/>
    </row>
    <row r="360" ht="57.75" customHeight="1">
      <c r="A360" s="63" t="n"/>
      <c r="B360" s="63" t="n"/>
      <c r="C360" s="64" t="n"/>
      <c r="D360" s="63" t="n"/>
      <c r="E360" s="63" t="n"/>
      <c r="F360" s="63" t="n"/>
      <c r="G360" s="63" t="n"/>
      <c r="H360" s="63" t="n"/>
      <c r="I360" s="63" t="n"/>
      <c r="J360" s="65" t="n"/>
      <c r="K360" s="63" t="n"/>
      <c r="L360" s="15" t="n"/>
      <c r="M360" s="63" t="n"/>
      <c r="N360" s="16" t="n"/>
    </row>
    <row r="361" ht="29.25" customHeight="1">
      <c r="A361" s="59" t="n"/>
      <c r="B361" s="59" t="n"/>
      <c r="C361" s="60" t="n"/>
      <c r="D361" s="59" t="n"/>
      <c r="E361" s="59" t="n"/>
      <c r="F361" s="59" t="n"/>
      <c r="G361" s="59" t="n"/>
      <c r="H361" s="59" t="n"/>
      <c r="I361" s="59" t="n"/>
      <c r="J361" s="61" t="n"/>
      <c r="K361" s="59" t="n"/>
      <c r="L361" s="62" t="n"/>
      <c r="M361" s="59" t="n"/>
      <c r="N361" s="17" t="n"/>
    </row>
    <row r="362" ht="159" customHeight="1">
      <c r="A362" s="63" t="n"/>
      <c r="B362" s="63" t="n"/>
      <c r="C362" s="64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15" t="n"/>
      <c r="M362" s="63" t="n"/>
      <c r="N362" s="63" t="n"/>
    </row>
    <row r="363" ht="87" customHeight="1">
      <c r="A363" s="59" t="n"/>
      <c r="B363" s="59" t="n"/>
      <c r="C363" s="60" t="n"/>
      <c r="D363" s="59" t="n"/>
      <c r="E363" s="59" t="n"/>
      <c r="F363" s="59" t="n"/>
      <c r="G363" s="59" t="n"/>
      <c r="H363" s="59" t="n"/>
      <c r="I363" s="59" t="n"/>
      <c r="J363" s="61" t="n"/>
      <c r="K363" s="59" t="n"/>
      <c r="L363" s="62" t="n"/>
      <c r="M363" s="59" t="n"/>
      <c r="N363" s="17" t="n"/>
    </row>
    <row r="364" ht="87" customHeight="1">
      <c r="A364" s="63" t="n"/>
      <c r="B364" s="63" t="n"/>
      <c r="C364" s="64" t="n"/>
      <c r="D364" s="63" t="n"/>
      <c r="E364" s="63" t="n"/>
      <c r="F364" s="63" t="n"/>
      <c r="G364" s="63" t="n"/>
      <c r="H364" s="63" t="n"/>
      <c r="I364" s="63" t="n"/>
      <c r="J364" s="65" t="n"/>
      <c r="K364" s="63" t="n"/>
      <c r="L364" s="15" t="n"/>
      <c r="M364" s="63" t="n"/>
      <c r="N364" s="63" t="n"/>
    </row>
    <row r="365" ht="29.25" customHeight="1">
      <c r="A365" s="59" t="n"/>
      <c r="B365" s="59" t="n"/>
      <c r="C365" s="60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62" t="n"/>
      <c r="M365" s="59" t="n"/>
      <c r="N365" s="17" t="n"/>
    </row>
    <row r="366" ht="29.25" customHeight="1">
      <c r="A366" s="63" t="n"/>
      <c r="B366" s="63" t="n"/>
      <c r="C366" s="64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15" t="n"/>
      <c r="M366" s="63" t="n"/>
      <c r="N366" s="16" t="n"/>
    </row>
    <row r="367" ht="159" customHeight="1">
      <c r="A367" s="59" t="n"/>
      <c r="B367" s="59" t="n"/>
      <c r="C367" s="60" t="n"/>
      <c r="D367" s="59" t="n"/>
      <c r="E367" s="59" t="n"/>
      <c r="F367" s="59" t="n"/>
      <c r="G367" s="59" t="n"/>
      <c r="H367" s="59" t="n"/>
      <c r="I367" s="59" t="n"/>
      <c r="J367" s="61" t="n"/>
      <c r="K367" s="59" t="n"/>
      <c r="L367" s="62" t="n"/>
      <c r="M367" s="59" t="n"/>
      <c r="N367" s="17" t="n"/>
    </row>
    <row r="368" ht="43.5" customHeight="1">
      <c r="A368" s="63" t="n"/>
      <c r="B368" s="63" t="n"/>
      <c r="C368" s="64" t="n"/>
      <c r="D368" s="63" t="n"/>
      <c r="E368" s="63" t="n"/>
      <c r="F368" s="63" t="n"/>
      <c r="G368" s="63" t="n"/>
      <c r="H368" s="63" t="n"/>
      <c r="I368" s="63" t="n"/>
      <c r="J368" s="65" t="n"/>
      <c r="K368" s="63" t="n"/>
      <c r="L368" s="15" t="n"/>
      <c r="M368" s="63" t="n"/>
      <c r="N368" s="63" t="n"/>
    </row>
    <row r="369" ht="43.5" customHeight="1">
      <c r="A369" s="59" t="n"/>
      <c r="B369" s="59" t="n"/>
      <c r="C369" s="60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62" t="n"/>
      <c r="M369" s="59" t="n"/>
      <c r="N369" s="17" t="n"/>
    </row>
    <row r="370" ht="101.25" customHeight="1">
      <c r="A370" s="63" t="n"/>
      <c r="B370" s="63" t="n"/>
      <c r="C370" s="64" t="n"/>
      <c r="D370" s="63" t="n"/>
      <c r="E370" s="63" t="n"/>
      <c r="F370" s="63" t="n"/>
      <c r="G370" s="63" t="n"/>
      <c r="H370" s="63" t="n"/>
      <c r="I370" s="63" t="n"/>
      <c r="J370" s="65" t="n"/>
      <c r="K370" s="63" t="n"/>
      <c r="L370" s="15" t="n"/>
      <c r="M370" s="63" t="n"/>
      <c r="N370" s="16" t="n"/>
    </row>
    <row r="371" ht="115.5" customHeight="1">
      <c r="A371" s="59" t="n"/>
      <c r="B371" s="59" t="n"/>
      <c r="C371" s="60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62" t="n"/>
      <c r="M371" s="59" t="n"/>
      <c r="N371" s="17" t="n"/>
    </row>
    <row r="372" ht="87" customHeight="1">
      <c r="A372" s="63" t="n"/>
      <c r="B372" s="63" t="n"/>
      <c r="C372" s="64" t="n"/>
      <c r="D372" s="63" t="n"/>
      <c r="E372" s="63" t="n"/>
      <c r="F372" s="63" t="n"/>
      <c r="G372" s="63" t="n"/>
      <c r="H372" s="63" t="n"/>
      <c r="I372" s="63" t="n"/>
      <c r="J372" s="65" t="n"/>
      <c r="K372" s="63" t="n"/>
      <c r="L372" s="15" t="n"/>
      <c r="M372" s="63" t="n"/>
      <c r="N372" s="16" t="n"/>
    </row>
    <row r="373" ht="29.25" customHeight="1">
      <c r="A373" s="59" t="n"/>
      <c r="B373" s="59" t="n"/>
      <c r="C373" s="60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62" t="n"/>
      <c r="M373" s="59" t="n"/>
      <c r="N373" s="17" t="n"/>
    </row>
    <row r="374" ht="72.75" customHeight="1">
      <c r="A374" s="63" t="n"/>
      <c r="B374" s="63" t="n"/>
      <c r="C374" s="64" t="n"/>
      <c r="D374" s="63" t="n"/>
      <c r="E374" s="63" t="n"/>
      <c r="F374" s="63" t="n"/>
      <c r="G374" s="63" t="n"/>
      <c r="H374" s="63" t="n"/>
      <c r="I374" s="63" t="n"/>
      <c r="J374" s="65" t="n"/>
      <c r="K374" s="63" t="n"/>
      <c r="L374" s="15" t="n"/>
      <c r="M374" s="63" t="n"/>
      <c r="N374" s="16" t="n"/>
    </row>
    <row r="375" ht="72.75" customHeight="1">
      <c r="A375" s="59" t="n"/>
      <c r="B375" s="59" t="n"/>
      <c r="C375" s="60" t="n"/>
      <c r="D375" s="59" t="n"/>
      <c r="E375" s="59" t="n"/>
      <c r="F375" s="59" t="n"/>
      <c r="G375" s="59" t="n"/>
      <c r="H375" s="59" t="n"/>
      <c r="I375" s="59" t="n"/>
      <c r="J375" s="61" t="n"/>
      <c r="K375" s="59" t="n"/>
      <c r="L375" s="62" t="n"/>
      <c r="M375" s="59" t="n"/>
      <c r="N375" s="59" t="n"/>
    </row>
    <row r="376" ht="101.25" customHeight="1">
      <c r="A376" s="63" t="n"/>
      <c r="B376" s="63" t="n"/>
      <c r="C376" s="64" t="n"/>
      <c r="D376" s="63" t="n"/>
      <c r="E376" s="63" t="n"/>
      <c r="F376" s="63" t="n"/>
      <c r="G376" s="63" t="n"/>
      <c r="H376" s="63" t="n"/>
      <c r="I376" s="63" t="n"/>
      <c r="J376" s="65" t="n"/>
      <c r="K376" s="63" t="n"/>
      <c r="L376" s="15" t="n"/>
      <c r="M376" s="63" t="n"/>
      <c r="N376" s="16" t="n"/>
    </row>
    <row r="377">
      <c r="A377" s="59" t="n"/>
      <c r="B377" s="59" t="n"/>
      <c r="C377" s="60" t="n"/>
      <c r="D377" s="59" t="n"/>
      <c r="E377" s="59" t="n"/>
      <c r="F377" s="59" t="n"/>
      <c r="G377" s="59" t="n"/>
      <c r="H377" s="59" t="n"/>
      <c r="I377" s="59" t="n"/>
      <c r="J377" s="61" t="n"/>
      <c r="K377" s="59" t="n"/>
      <c r="L377" s="62" t="n"/>
      <c r="M377" s="59" t="n"/>
      <c r="N377" s="59" t="n"/>
    </row>
    <row r="378" ht="115.5" customHeight="1">
      <c r="A378" s="63" t="n"/>
      <c r="B378" s="63" t="n"/>
      <c r="C378" s="64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15" t="n"/>
      <c r="M378" s="63" t="n"/>
      <c r="N378" s="16" t="n"/>
    </row>
    <row r="379" ht="188.25" customHeight="1">
      <c r="A379" s="59" t="n"/>
      <c r="B379" s="59" t="n"/>
      <c r="C379" s="60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62" t="n"/>
      <c r="M379" s="59" t="n"/>
      <c r="N379" s="17" t="n"/>
    </row>
    <row r="380" ht="87" customHeight="1">
      <c r="A380" s="63" t="n"/>
      <c r="B380" s="63" t="n"/>
      <c r="C380" s="64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15" t="n"/>
      <c r="M380" s="63" t="n"/>
      <c r="N380" s="16" t="n"/>
    </row>
    <row r="381" ht="174" customHeight="1">
      <c r="A381" s="59" t="n"/>
      <c r="B381" s="59" t="n"/>
      <c r="C381" s="60" t="n"/>
      <c r="D381" s="59" t="n"/>
      <c r="E381" s="59" t="n"/>
      <c r="F381" s="59" t="n"/>
      <c r="G381" s="59" t="n"/>
      <c r="H381" s="59" t="n"/>
      <c r="I381" s="59" t="n"/>
      <c r="J381" s="61" t="n"/>
      <c r="K381" s="59" t="n"/>
      <c r="L381" s="62" t="n"/>
      <c r="M381" s="59" t="n"/>
      <c r="N381" s="17" t="n"/>
    </row>
    <row r="382" ht="29.25" customHeight="1">
      <c r="A382" s="63" t="n"/>
      <c r="B382" s="63" t="n"/>
      <c r="C382" s="64" t="n"/>
      <c r="D382" s="63" t="n"/>
      <c r="E382" s="63" t="n"/>
      <c r="F382" s="63" t="n"/>
      <c r="G382" s="63" t="n"/>
      <c r="H382" s="63" t="n"/>
      <c r="I382" s="63" t="n"/>
      <c r="J382" s="65" t="n"/>
      <c r="K382" s="63" t="n"/>
      <c r="L382" s="15" t="n"/>
      <c r="M382" s="63" t="n"/>
      <c r="N382" s="63" t="n"/>
    </row>
    <row r="383" ht="29.25" customHeight="1">
      <c r="A383" s="59" t="n"/>
      <c r="B383" s="59" t="n"/>
      <c r="C383" s="60" t="n"/>
      <c r="D383" s="59" t="n"/>
      <c r="E383" s="59" t="n"/>
      <c r="F383" s="59" t="n"/>
      <c r="G383" s="59" t="n"/>
      <c r="H383" s="59" t="n"/>
      <c r="I383" s="59" t="n"/>
      <c r="J383" s="61" t="n"/>
      <c r="K383" s="59" t="n"/>
      <c r="L383" s="62" t="n"/>
      <c r="M383" s="59" t="n"/>
      <c r="N383" s="17" t="n"/>
    </row>
    <row r="384" ht="130.5" customHeight="1">
      <c r="A384" s="63" t="n"/>
      <c r="B384" s="63" t="n"/>
      <c r="C384" s="64" t="n"/>
      <c r="D384" s="63" t="n"/>
      <c r="E384" s="63" t="n"/>
      <c r="F384" s="63" t="n"/>
      <c r="G384" s="63" t="n"/>
      <c r="H384" s="63" t="n"/>
      <c r="I384" s="63" t="n"/>
      <c r="J384" s="65" t="n"/>
      <c r="K384" s="63" t="n"/>
      <c r="L384" s="15" t="n"/>
      <c r="M384" s="63" t="n"/>
      <c r="N384" s="16" t="n"/>
    </row>
    <row r="385" ht="188.25" customHeight="1">
      <c r="A385" s="59" t="n"/>
      <c r="B385" s="59" t="n"/>
      <c r="C385" s="60" t="n"/>
      <c r="D385" s="59" t="n"/>
      <c r="E385" s="59" t="n"/>
      <c r="F385" s="59" t="n"/>
      <c r="G385" s="59" t="n"/>
      <c r="H385" s="59" t="n"/>
      <c r="I385" s="59" t="n"/>
      <c r="J385" s="61" t="n"/>
      <c r="K385" s="59" t="n"/>
      <c r="L385" s="62" t="n"/>
      <c r="M385" s="59" t="n"/>
      <c r="N385" s="17" t="n"/>
    </row>
    <row r="386" ht="87" customHeight="1">
      <c r="A386" s="63" t="n"/>
      <c r="B386" s="63" t="n"/>
      <c r="C386" s="64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15" t="n"/>
      <c r="M386" s="63" t="n"/>
      <c r="N386" s="16" t="n"/>
    </row>
    <row r="387" ht="87" customHeight="1">
      <c r="A387" s="59" t="n"/>
      <c r="B387" s="59" t="n"/>
      <c r="C387" s="60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62" t="n"/>
      <c r="M387" s="59" t="n"/>
      <c r="N387" s="59" t="n"/>
    </row>
    <row r="388" ht="174" customHeight="1">
      <c r="A388" s="63" t="n"/>
      <c r="B388" s="63" t="n"/>
      <c r="C388" s="64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15" t="n"/>
      <c r="M388" s="63" t="n"/>
      <c r="N388" s="16" t="n"/>
    </row>
    <row r="389" ht="101.25" customHeight="1">
      <c r="A389" s="59" t="n"/>
      <c r="B389" s="59" t="n"/>
      <c r="C389" s="60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62" t="n"/>
      <c r="M389" s="59" t="n"/>
      <c r="N389" s="17" t="n"/>
    </row>
    <row r="390" ht="144.75" customHeight="1">
      <c r="A390" s="63" t="n"/>
      <c r="B390" s="63" t="n"/>
      <c r="C390" s="64" t="n"/>
      <c r="D390" s="63" t="n"/>
      <c r="E390" s="63" t="n"/>
      <c r="F390" s="63" t="n"/>
      <c r="G390" s="63" t="n"/>
      <c r="H390" s="63" t="n"/>
      <c r="I390" s="63" t="n"/>
      <c r="J390" s="65" t="n"/>
      <c r="K390" s="63" t="n"/>
      <c r="L390" s="15" t="n"/>
      <c r="M390" s="63" t="n"/>
      <c r="N390" s="63" t="n"/>
    </row>
    <row r="391" ht="130.5" customHeight="1">
      <c r="A391" s="59" t="n"/>
      <c r="B391" s="59" t="n"/>
      <c r="C391" s="60" t="n"/>
      <c r="D391" s="59" t="n"/>
      <c r="E391" s="59" t="n"/>
      <c r="F391" s="59" t="n"/>
      <c r="G391" s="59" t="n"/>
      <c r="H391" s="59" t="n"/>
      <c r="I391" s="59" t="n"/>
      <c r="J391" s="61" t="n"/>
      <c r="K391" s="59" t="n"/>
      <c r="L391" s="62" t="n"/>
      <c r="M391" s="59" t="n"/>
      <c r="N391" s="17" t="n"/>
    </row>
    <row r="392" ht="101.25" customHeight="1">
      <c r="A392" s="63" t="n"/>
      <c r="B392" s="63" t="n"/>
      <c r="C392" s="64" t="n"/>
      <c r="D392" s="63" t="n"/>
      <c r="E392" s="63" t="n"/>
      <c r="F392" s="63" t="n"/>
      <c r="G392" s="63" t="n"/>
      <c r="H392" s="63" t="n"/>
      <c r="I392" s="63" t="n"/>
      <c r="J392" s="65" t="n"/>
      <c r="K392" s="63" t="n"/>
      <c r="L392" s="15" t="n"/>
      <c r="M392" s="63" t="n"/>
      <c r="N392" s="16" t="n"/>
    </row>
    <row r="393" ht="115.5" customHeight="1">
      <c r="A393" s="59" t="n"/>
      <c r="B393" s="59" t="n"/>
      <c r="C393" s="60" t="n"/>
      <c r="D393" s="59" t="n"/>
      <c r="E393" s="59" t="n"/>
      <c r="F393" s="59" t="n"/>
      <c r="G393" s="59" t="n"/>
      <c r="H393" s="59" t="n"/>
      <c r="I393" s="59" t="n"/>
      <c r="J393" s="61" t="n"/>
      <c r="K393" s="59" t="n"/>
      <c r="L393" s="62" t="n"/>
      <c r="M393" s="59" t="n"/>
      <c r="N393" s="17" t="n"/>
    </row>
    <row r="394" ht="115.5" customHeight="1">
      <c r="A394" s="63" t="n"/>
      <c r="B394" s="63" t="n"/>
      <c r="C394" s="64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15" t="n"/>
      <c r="M394" s="63" t="n"/>
      <c r="N394" s="16" t="n"/>
    </row>
    <row r="395" ht="201.75" customHeight="1">
      <c r="A395" s="59" t="n"/>
      <c r="B395" s="59" t="n"/>
      <c r="C395" s="60" t="n"/>
      <c r="D395" s="59" t="n"/>
      <c r="E395" s="59" t="n"/>
      <c r="F395" s="59" t="n"/>
      <c r="G395" s="59" t="n"/>
      <c r="H395" s="59" t="n"/>
      <c r="I395" s="59" t="n"/>
      <c r="J395" s="61" t="n"/>
      <c r="K395" s="59" t="n"/>
      <c r="L395" s="62" t="n"/>
      <c r="M395" s="59" t="n"/>
      <c r="N395" s="59" t="n"/>
    </row>
    <row r="396" ht="87" customHeight="1">
      <c r="A396" s="63" t="n"/>
      <c r="B396" s="63" t="n"/>
      <c r="C396" s="64" t="n"/>
      <c r="D396" s="63" t="n"/>
      <c r="E396" s="63" t="n"/>
      <c r="F396" s="63" t="n"/>
      <c r="G396" s="63" t="n"/>
      <c r="H396" s="63" t="n"/>
      <c r="I396" s="63" t="n"/>
      <c r="J396" s="65" t="n"/>
      <c r="K396" s="63" t="n"/>
      <c r="L396" s="15" t="n"/>
      <c r="M396" s="63" t="n"/>
      <c r="N396" s="16" t="n"/>
    </row>
    <row r="397" ht="72.75" customHeight="1">
      <c r="A397" s="59" t="n"/>
      <c r="B397" s="59" t="n"/>
      <c r="C397" s="60" t="n"/>
      <c r="D397" s="59" t="n"/>
      <c r="E397" s="59" t="n"/>
      <c r="F397" s="59" t="n"/>
      <c r="G397" s="59" t="n"/>
      <c r="H397" s="59" t="n"/>
      <c r="I397" s="59" t="n"/>
      <c r="J397" s="61" t="n"/>
      <c r="K397" s="59" t="n"/>
      <c r="L397" s="62" t="n"/>
      <c r="M397" s="59" t="n"/>
      <c r="N397" s="59" t="n"/>
    </row>
    <row r="398" ht="57.75" customHeight="1">
      <c r="A398" s="63" t="n"/>
      <c r="B398" s="63" t="n"/>
      <c r="C398" s="64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15" t="n"/>
      <c r="M398" s="63" t="n"/>
      <c r="N398" s="16" t="n"/>
    </row>
    <row r="399" ht="57.75" customHeight="1">
      <c r="A399" s="59" t="n"/>
      <c r="B399" s="59" t="n"/>
      <c r="C399" s="60" t="n"/>
      <c r="D399" s="59" t="n"/>
      <c r="E399" s="59" t="n"/>
      <c r="F399" s="59" t="n"/>
      <c r="G399" s="59" t="n"/>
      <c r="H399" s="59" t="n"/>
      <c r="I399" s="59" t="n"/>
      <c r="J399" s="61" t="n"/>
      <c r="K399" s="59" t="n"/>
      <c r="L399" s="62" t="n"/>
      <c r="M399" s="59" t="n"/>
      <c r="N399" s="17" t="n"/>
    </row>
    <row r="400" ht="101.25" customHeight="1">
      <c r="A400" s="63" t="n"/>
      <c r="B400" s="63" t="n"/>
      <c r="C400" s="64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15" t="n"/>
      <c r="M400" s="63" t="n"/>
      <c r="N400" s="16" t="n"/>
    </row>
    <row r="401" ht="57.75" customHeight="1">
      <c r="A401" s="59" t="n"/>
      <c r="B401" s="59" t="n"/>
      <c r="C401" s="60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62" t="n"/>
      <c r="M401" s="59" t="n"/>
      <c r="N401" s="17" t="n"/>
    </row>
    <row r="402" ht="72.75" customHeight="1">
      <c r="A402" s="63" t="n"/>
      <c r="B402" s="63" t="n"/>
      <c r="C402" s="64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15" t="n"/>
      <c r="M402" s="63" t="n"/>
      <c r="N402" s="16" t="n"/>
    </row>
    <row r="403" ht="57.75" customHeight="1">
      <c r="A403" s="59" t="n"/>
      <c r="B403" s="59" t="n"/>
      <c r="C403" s="60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62" t="n"/>
      <c r="M403" s="59" t="n"/>
      <c r="N403" s="17" t="n"/>
    </row>
    <row r="404" ht="43.5" customHeight="1">
      <c r="A404" s="63" t="n"/>
      <c r="B404" s="63" t="n"/>
      <c r="C404" s="64" t="n"/>
      <c r="D404" s="63" t="n"/>
      <c r="E404" s="63" t="n"/>
      <c r="F404" s="63" t="n"/>
      <c r="G404" s="63" t="n"/>
      <c r="H404" s="63" t="n"/>
      <c r="I404" s="63" t="n"/>
      <c r="J404" s="65" t="n"/>
      <c r="K404" s="63" t="n"/>
      <c r="L404" s="15" t="n"/>
      <c r="M404" s="63" t="n"/>
      <c r="N404" s="16" t="n"/>
    </row>
    <row r="405" ht="57.75" customHeight="1">
      <c r="A405" s="59" t="n"/>
      <c r="B405" s="59" t="n"/>
      <c r="C405" s="60" t="n"/>
      <c r="D405" s="59" t="n"/>
      <c r="E405" s="59" t="n"/>
      <c r="F405" s="59" t="n"/>
      <c r="G405" s="59" t="n"/>
      <c r="H405" s="59" t="n"/>
      <c r="I405" s="59" t="n"/>
      <c r="J405" s="61" t="n"/>
      <c r="K405" s="59" t="n"/>
      <c r="L405" s="62" t="n"/>
      <c r="M405" s="59" t="n"/>
      <c r="N405" s="17" t="n"/>
    </row>
    <row r="406" ht="43.5" customHeight="1">
      <c r="A406" s="63" t="n"/>
      <c r="B406" s="63" t="n"/>
      <c r="C406" s="64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15" t="n"/>
      <c r="M406" s="63" t="n"/>
      <c r="N406" s="63" t="n"/>
    </row>
    <row r="407" ht="57.75" customHeight="1">
      <c r="A407" s="59" t="n"/>
      <c r="B407" s="59" t="n"/>
      <c r="C407" s="60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62" t="n"/>
      <c r="M407" s="59" t="n"/>
      <c r="N407" s="59" t="n"/>
    </row>
    <row r="408" ht="115.5" customHeight="1">
      <c r="A408" s="63" t="n"/>
      <c r="B408" s="63" t="n"/>
      <c r="C408" s="64" t="n"/>
      <c r="D408" s="63" t="n"/>
      <c r="E408" s="63" t="n"/>
      <c r="F408" s="63" t="n"/>
      <c r="G408" s="63" t="n"/>
      <c r="H408" s="63" t="n"/>
      <c r="I408" s="63" t="n"/>
      <c r="J408" s="65" t="n"/>
      <c r="K408" s="63" t="n"/>
      <c r="L408" s="15" t="n"/>
      <c r="M408" s="63" t="n"/>
      <c r="N408" s="16" t="n"/>
    </row>
    <row r="409" ht="130.5" customHeight="1">
      <c r="A409" s="59" t="n"/>
      <c r="B409" s="59" t="n"/>
      <c r="C409" s="60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62" t="n"/>
      <c r="M409" s="59" t="n"/>
      <c r="N409" s="59" t="n"/>
    </row>
    <row r="410" ht="174" customHeight="1">
      <c r="A410" s="63" t="n"/>
      <c r="B410" s="63" t="n"/>
      <c r="C410" s="64" t="n"/>
      <c r="D410" s="63" t="n"/>
      <c r="E410" s="63" t="n"/>
      <c r="F410" s="63" t="n"/>
      <c r="G410" s="63" t="n"/>
      <c r="H410" s="63" t="n"/>
      <c r="I410" s="63" t="n"/>
      <c r="J410" s="65" t="n"/>
      <c r="K410" s="63" t="n"/>
      <c r="L410" s="15" t="n"/>
      <c r="M410" s="63" t="n"/>
      <c r="N410" s="16" t="n"/>
    </row>
    <row r="411" ht="144.75" customHeight="1">
      <c r="A411" s="59" t="n"/>
      <c r="B411" s="59" t="n"/>
      <c r="C411" s="60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62" t="n"/>
      <c r="M411" s="59" t="n"/>
      <c r="N411" s="59" t="n"/>
    </row>
    <row r="412" ht="159" customHeight="1">
      <c r="A412" s="63" t="n"/>
      <c r="B412" s="63" t="n"/>
      <c r="C412" s="64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15" t="n"/>
      <c r="M412" s="63" t="n"/>
      <c r="N412" s="16" t="n"/>
    </row>
    <row r="413" ht="101.25" customHeight="1">
      <c r="A413" s="59" t="n"/>
      <c r="B413" s="59" t="n"/>
      <c r="C413" s="60" t="n"/>
      <c r="D413" s="59" t="n"/>
      <c r="E413" s="59" t="n"/>
      <c r="F413" s="59" t="n"/>
      <c r="G413" s="59" t="n"/>
      <c r="H413" s="59" t="n"/>
      <c r="I413" s="59" t="n"/>
      <c r="J413" s="61" t="n"/>
      <c r="K413" s="59" t="n"/>
      <c r="L413" s="62" t="n"/>
      <c r="M413" s="59" t="n"/>
      <c r="N413" s="17" t="n"/>
    </row>
    <row r="414" ht="174" customHeight="1">
      <c r="A414" s="63" t="n"/>
      <c r="B414" s="63" t="n"/>
      <c r="C414" s="64" t="n"/>
      <c r="D414" s="63" t="n"/>
      <c r="E414" s="63" t="n"/>
      <c r="F414" s="63" t="n"/>
      <c r="G414" s="63" t="n"/>
      <c r="H414" s="63" t="n"/>
      <c r="I414" s="63" t="n"/>
      <c r="J414" s="65" t="n"/>
      <c r="K414" s="63" t="n"/>
      <c r="L414" s="15" t="n"/>
      <c r="M414" s="63" t="n"/>
      <c r="N414" s="63" t="n"/>
    </row>
    <row r="415">
      <c r="A415" s="59" t="n"/>
      <c r="B415" s="59" t="n"/>
      <c r="C415" s="60" t="n"/>
      <c r="D415" s="59" t="n"/>
      <c r="E415" s="59" t="n"/>
      <c r="F415" s="59" t="n"/>
      <c r="G415" s="59" t="n"/>
      <c r="H415" s="59" t="n"/>
      <c r="I415" s="59" t="n"/>
      <c r="J415" s="61" t="n"/>
      <c r="K415" s="59" t="n"/>
      <c r="L415" s="62" t="n"/>
      <c r="M415" s="59" t="n"/>
      <c r="N415" s="59" t="n"/>
    </row>
    <row r="416" ht="174" customHeight="1">
      <c r="A416" s="63" t="n"/>
      <c r="B416" s="63" t="n"/>
      <c r="C416" s="64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15" t="n"/>
      <c r="M416" s="63" t="n"/>
      <c r="N416" s="63" t="n"/>
    </row>
    <row r="417" ht="115.5" customHeight="1">
      <c r="A417" s="59" t="n"/>
      <c r="B417" s="59" t="n"/>
      <c r="C417" s="60" t="n"/>
      <c r="D417" s="59" t="n"/>
      <c r="E417" s="59" t="n"/>
      <c r="F417" s="59" t="n"/>
      <c r="G417" s="59" t="n"/>
      <c r="H417" s="59" t="n"/>
      <c r="I417" s="59" t="n"/>
      <c r="J417" s="61" t="n"/>
      <c r="K417" s="59" t="n"/>
      <c r="L417" s="62" t="n"/>
      <c r="M417" s="59" t="n"/>
      <c r="N417" s="17" t="n"/>
    </row>
    <row r="418" ht="29.25" customHeight="1">
      <c r="A418" s="63" t="n"/>
      <c r="B418" s="63" t="n"/>
      <c r="C418" s="64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15" t="n"/>
      <c r="M418" s="63" t="n"/>
      <c r="N418" s="16" t="n"/>
    </row>
    <row r="419" ht="87" customHeight="1">
      <c r="A419" s="59" t="n"/>
      <c r="B419" s="59" t="n"/>
      <c r="C419" s="60" t="n"/>
      <c r="D419" s="59" t="n"/>
      <c r="E419" s="59" t="n"/>
      <c r="F419" s="59" t="n"/>
      <c r="G419" s="59" t="n"/>
      <c r="H419" s="59" t="n"/>
      <c r="I419" s="59" t="n"/>
      <c r="J419" s="61" t="n"/>
      <c r="K419" s="59" t="n"/>
      <c r="L419" s="62" t="n"/>
      <c r="M419" s="59" t="n"/>
      <c r="N419" s="59" t="n"/>
    </row>
    <row r="420" ht="130.5" customHeight="1">
      <c r="A420" s="63" t="n"/>
      <c r="B420" s="63" t="n"/>
      <c r="C420" s="64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15" t="n"/>
      <c r="M420" s="63" t="n"/>
      <c r="N420" s="63" t="n"/>
    </row>
    <row r="421" ht="144.75" customHeight="1">
      <c r="A421" s="59" t="n"/>
      <c r="B421" s="59" t="n"/>
      <c r="C421" s="60" t="n"/>
      <c r="D421" s="59" t="n"/>
      <c r="E421" s="59" t="n"/>
      <c r="F421" s="59" t="n"/>
      <c r="G421" s="59" t="n"/>
      <c r="H421" s="59" t="n"/>
      <c r="I421" s="59" t="n"/>
      <c r="J421" s="61" t="n"/>
      <c r="K421" s="59" t="n"/>
      <c r="L421" s="62" t="n"/>
      <c r="M421" s="59" t="n"/>
      <c r="N421" s="17" t="n"/>
    </row>
    <row r="422" ht="409.6" customHeight="1">
      <c r="A422" s="63" t="n"/>
      <c r="B422" s="63" t="n"/>
      <c r="C422" s="64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15" t="n"/>
      <c r="M422" s="63" t="n"/>
      <c r="N422" s="16" t="n"/>
    </row>
    <row r="423" ht="57.75" customHeight="1">
      <c r="A423" s="59" t="n"/>
      <c r="B423" s="59" t="n"/>
      <c r="C423" s="60" t="n"/>
      <c r="D423" s="59" t="n"/>
      <c r="E423" s="59" t="n"/>
      <c r="F423" s="59" t="n"/>
      <c r="G423" s="59" t="n"/>
      <c r="H423" s="59" t="n"/>
      <c r="I423" s="59" t="n"/>
      <c r="J423" s="61" t="n"/>
      <c r="K423" s="59" t="n"/>
      <c r="L423" s="62" t="n"/>
      <c r="M423" s="59" t="n"/>
      <c r="N423" s="17" t="n"/>
    </row>
    <row r="424" ht="29.25" customHeight="1">
      <c r="A424" s="63" t="n"/>
      <c r="B424" s="63" t="n"/>
      <c r="C424" s="64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15" t="n"/>
      <c r="M424" s="63" t="n"/>
      <c r="N424" s="63" t="n"/>
    </row>
    <row r="425" ht="101.25" customHeight="1">
      <c r="A425" s="59" t="n"/>
      <c r="B425" s="59" t="n"/>
      <c r="C425" s="60" t="n"/>
      <c r="D425" s="59" t="n"/>
      <c r="E425" s="59" t="n"/>
      <c r="F425" s="59" t="n"/>
      <c r="G425" s="59" t="n"/>
      <c r="H425" s="59" t="n"/>
      <c r="I425" s="59" t="n"/>
      <c r="J425" s="61" t="n"/>
      <c r="K425" s="59" t="n"/>
      <c r="L425" s="62" t="n"/>
      <c r="M425" s="59" t="n"/>
      <c r="N425" s="17" t="n"/>
    </row>
    <row r="426" ht="29.25" customHeight="1">
      <c r="A426" s="63" t="n"/>
      <c r="B426" s="63" t="n"/>
      <c r="C426" s="64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15" t="n"/>
      <c r="M426" s="63" t="n"/>
      <c r="N426" s="16" t="n"/>
    </row>
    <row r="427" ht="43.5" customHeight="1">
      <c r="A427" s="59" t="n"/>
      <c r="B427" s="59" t="n"/>
      <c r="C427" s="60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62" t="n"/>
      <c r="M427" s="59" t="n"/>
      <c r="N427" s="59" t="n"/>
    </row>
    <row r="428" ht="245.25" customHeight="1">
      <c r="A428" s="63" t="n"/>
      <c r="B428" s="63" t="n"/>
      <c r="C428" s="64" t="n"/>
      <c r="D428" s="63" t="n"/>
      <c r="E428" s="63" t="n"/>
      <c r="F428" s="63" t="n"/>
      <c r="G428" s="63" t="n"/>
      <c r="H428" s="63" t="n"/>
      <c r="I428" s="63" t="n"/>
      <c r="J428" s="65" t="n"/>
      <c r="K428" s="63" t="n"/>
      <c r="L428" s="15" t="n"/>
      <c r="M428" s="63" t="n"/>
      <c r="N428" s="16" t="n"/>
    </row>
    <row r="429" ht="101.25" customHeight="1">
      <c r="A429" s="59" t="n"/>
      <c r="B429" s="59" t="n"/>
      <c r="C429" s="60" t="n"/>
      <c r="D429" s="59" t="n"/>
      <c r="E429" s="59" t="n"/>
      <c r="F429" s="59" t="n"/>
      <c r="G429" s="59" t="n"/>
      <c r="H429" s="59" t="n"/>
      <c r="I429" s="59" t="n"/>
      <c r="J429" s="61" t="n"/>
      <c r="K429" s="59" t="n"/>
      <c r="L429" s="62" t="n"/>
      <c r="M429" s="59" t="n"/>
      <c r="N429" s="17" t="n"/>
    </row>
    <row r="430" ht="130.5" customHeight="1">
      <c r="A430" s="63" t="n"/>
      <c r="B430" s="63" t="n"/>
      <c r="C430" s="64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15" t="n"/>
      <c r="M430" s="63" t="n"/>
      <c r="N430" s="16" t="n"/>
    </row>
    <row r="431" ht="390" customHeight="1">
      <c r="A431" s="59" t="n"/>
      <c r="B431" s="59" t="n"/>
      <c r="C431" s="60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62" t="n"/>
      <c r="M431" s="59" t="n"/>
      <c r="N431" s="17" t="n"/>
    </row>
    <row r="432" ht="87" customHeight="1">
      <c r="A432" s="63" t="n"/>
      <c r="B432" s="63" t="n"/>
      <c r="C432" s="64" t="n"/>
      <c r="D432" s="63" t="n"/>
      <c r="E432" s="63" t="n"/>
      <c r="F432" s="63" t="n"/>
      <c r="G432" s="63" t="n"/>
      <c r="H432" s="63" t="n"/>
      <c r="I432" s="63" t="n"/>
      <c r="J432" s="65" t="n"/>
      <c r="K432" s="63" t="n"/>
      <c r="L432" s="15" t="n"/>
      <c r="M432" s="63" t="n"/>
      <c r="N432" s="16" t="n"/>
    </row>
    <row r="433" ht="72.75" customHeight="1">
      <c r="A433" s="59" t="n"/>
      <c r="B433" s="59" t="n"/>
      <c r="C433" s="60" t="n"/>
      <c r="D433" s="59" t="n"/>
      <c r="E433" s="59" t="n"/>
      <c r="F433" s="59" t="n"/>
      <c r="G433" s="59" t="n"/>
      <c r="H433" s="59" t="n"/>
      <c r="I433" s="59" t="n"/>
      <c r="J433" s="61" t="n"/>
      <c r="K433" s="59" t="n"/>
      <c r="L433" s="62" t="n"/>
      <c r="M433" s="59" t="n"/>
      <c r="N433" s="17" t="n"/>
    </row>
    <row r="434" ht="130.5" customHeight="1">
      <c r="A434" s="63" t="n"/>
      <c r="B434" s="63" t="n"/>
      <c r="C434" s="64" t="n"/>
      <c r="D434" s="63" t="n"/>
      <c r="E434" s="63" t="n"/>
      <c r="F434" s="63" t="n"/>
      <c r="G434" s="63" t="n"/>
      <c r="H434" s="63" t="n"/>
      <c r="I434" s="63" t="n"/>
      <c r="J434" s="65" t="n"/>
      <c r="K434" s="63" t="n"/>
      <c r="L434" s="15" t="n"/>
      <c r="M434" s="63" t="n"/>
      <c r="N434" s="16" t="n"/>
    </row>
    <row r="435" ht="87" customHeight="1">
      <c r="A435" s="59" t="n"/>
      <c r="B435" s="59" t="n"/>
      <c r="C435" s="60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62" t="n"/>
      <c r="M435" s="59" t="n"/>
      <c r="N435" s="17" t="n"/>
    </row>
    <row r="436" ht="29.25" customHeight="1">
      <c r="A436" s="63" t="n"/>
      <c r="B436" s="63" t="n"/>
      <c r="C436" s="64" t="n"/>
      <c r="D436" s="63" t="n"/>
      <c r="E436" s="63" t="n"/>
      <c r="F436" s="63" t="n"/>
      <c r="G436" s="63" t="n"/>
      <c r="H436" s="63" t="n"/>
      <c r="I436" s="63" t="n"/>
      <c r="J436" s="65" t="n"/>
      <c r="K436" s="63" t="n"/>
      <c r="L436" s="15" t="n"/>
      <c r="M436" s="63" t="n"/>
      <c r="N436" s="16" t="n"/>
    </row>
    <row r="437" ht="87" customHeight="1">
      <c r="A437" s="59" t="n"/>
      <c r="B437" s="59" t="n"/>
      <c r="C437" s="60" t="n"/>
      <c r="D437" s="59" t="n"/>
      <c r="E437" s="59" t="n"/>
      <c r="F437" s="59" t="n"/>
      <c r="G437" s="59" t="n"/>
      <c r="H437" s="59" t="n"/>
      <c r="I437" s="59" t="n"/>
      <c r="J437" s="61" t="n"/>
      <c r="K437" s="59" t="n"/>
      <c r="L437" s="62" t="n"/>
      <c r="M437" s="59" t="n"/>
      <c r="N437" s="17" t="n"/>
    </row>
    <row r="438" ht="72.75" customHeight="1">
      <c r="A438" s="63" t="n"/>
      <c r="B438" s="63" t="n"/>
      <c r="C438" s="64" t="n"/>
      <c r="D438" s="63" t="n"/>
      <c r="E438" s="63" t="n"/>
      <c r="F438" s="63" t="n"/>
      <c r="G438" s="63" t="n"/>
      <c r="H438" s="63" t="n"/>
      <c r="I438" s="63" t="n"/>
      <c r="J438" s="65" t="n"/>
      <c r="K438" s="63" t="n"/>
      <c r="L438" s="15" t="n"/>
      <c r="M438" s="63" t="n"/>
      <c r="N438" s="63" t="n"/>
    </row>
    <row r="439" ht="87" customHeight="1">
      <c r="A439" s="59" t="n"/>
      <c r="B439" s="59" t="n"/>
      <c r="C439" s="60" t="n"/>
      <c r="D439" s="59" t="n"/>
      <c r="E439" s="59" t="n"/>
      <c r="F439" s="59" t="n"/>
      <c r="G439" s="59" t="n"/>
      <c r="H439" s="59" t="n"/>
      <c r="I439" s="59" t="n"/>
      <c r="J439" s="61" t="n"/>
      <c r="K439" s="59" t="n"/>
      <c r="L439" s="62" t="n"/>
      <c r="M439" s="59" t="n"/>
      <c r="N439" s="17" t="n"/>
    </row>
    <row r="440" ht="201.75" customHeight="1">
      <c r="A440" s="63" t="n"/>
      <c r="B440" s="63" t="n"/>
      <c r="C440" s="64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15" t="n"/>
      <c r="M440" s="63" t="n"/>
      <c r="N440" s="63" t="n"/>
    </row>
    <row r="441" ht="43.5" customHeight="1">
      <c r="A441" s="59" t="n"/>
      <c r="B441" s="59" t="n"/>
      <c r="C441" s="60" t="n"/>
      <c r="D441" s="59" t="n"/>
      <c r="E441" s="59" t="n"/>
      <c r="F441" s="59" t="n"/>
      <c r="G441" s="59" t="n"/>
      <c r="H441" s="59" t="n"/>
      <c r="I441" s="59" t="n"/>
      <c r="J441" s="61" t="n"/>
      <c r="K441" s="59" t="n"/>
      <c r="L441" s="62" t="n"/>
      <c r="M441" s="59" t="n"/>
      <c r="N441" s="17" t="n"/>
    </row>
    <row r="442">
      <c r="A442" s="63" t="n"/>
      <c r="B442" s="63" t="n"/>
      <c r="C442" s="64" t="n"/>
      <c r="D442" s="63" t="n"/>
      <c r="E442" s="63" t="n"/>
      <c r="F442" s="63" t="n"/>
      <c r="G442" s="63" t="n"/>
      <c r="H442" s="63" t="n"/>
      <c r="I442" s="63" t="n"/>
      <c r="J442" s="65" t="n"/>
      <c r="K442" s="63" t="n"/>
      <c r="L442" s="15" t="n"/>
      <c r="M442" s="63" t="n"/>
      <c r="N442" s="16" t="n"/>
    </row>
    <row r="443" ht="29.25" customHeight="1">
      <c r="A443" s="59" t="n"/>
      <c r="B443" s="59" t="n"/>
      <c r="C443" s="60" t="n"/>
      <c r="D443" s="59" t="n"/>
      <c r="E443" s="59" t="n"/>
      <c r="F443" s="59" t="n"/>
      <c r="G443" s="59" t="n"/>
      <c r="H443" s="59" t="n"/>
      <c r="I443" s="59" t="n"/>
      <c r="J443" s="61" t="n"/>
      <c r="K443" s="59" t="n"/>
      <c r="L443" s="62" t="n"/>
      <c r="M443" s="59" t="n"/>
      <c r="N443" s="59" t="n"/>
    </row>
    <row r="444" ht="115.5" customHeight="1">
      <c r="A444" s="63" t="n"/>
      <c r="B444" s="63" t="n"/>
      <c r="C444" s="64" t="n"/>
      <c r="D444" s="63" t="n"/>
      <c r="E444" s="63" t="n"/>
      <c r="F444" s="63" t="n"/>
      <c r="G444" s="63" t="n"/>
      <c r="H444" s="63" t="n"/>
      <c r="I444" s="63" t="n"/>
      <c r="J444" s="65" t="n"/>
      <c r="K444" s="63" t="n"/>
      <c r="L444" s="15" t="n"/>
      <c r="M444" s="63" t="n"/>
      <c r="N444" s="63" t="n"/>
    </row>
    <row r="445" ht="130.5" customHeight="1">
      <c r="A445" s="59" t="n"/>
      <c r="B445" s="59" t="n"/>
      <c r="C445" s="60" t="n"/>
      <c r="D445" s="59" t="n"/>
      <c r="E445" s="59" t="n"/>
      <c r="F445" s="59" t="n"/>
      <c r="G445" s="59" t="n"/>
      <c r="H445" s="59" t="n"/>
      <c r="I445" s="59" t="n"/>
      <c r="J445" s="61" t="n"/>
      <c r="K445" s="59" t="n"/>
      <c r="L445" s="62" t="n"/>
      <c r="M445" s="59" t="n"/>
      <c r="N445" s="59" t="n"/>
    </row>
    <row r="446" ht="72.75" customHeight="1">
      <c r="A446" s="63" t="n"/>
      <c r="B446" s="63" t="n"/>
      <c r="C446" s="64" t="n"/>
      <c r="D446" s="63" t="n"/>
      <c r="E446" s="63" t="n"/>
      <c r="F446" s="63" t="n"/>
      <c r="G446" s="63" t="n"/>
      <c r="H446" s="63" t="n"/>
      <c r="I446" s="63" t="n"/>
      <c r="J446" s="65" t="n"/>
      <c r="K446" s="63" t="n"/>
      <c r="L446" s="15" t="n"/>
      <c r="M446" s="63" t="n"/>
      <c r="N446" s="16" t="n"/>
    </row>
    <row r="447" ht="115.5" customHeight="1">
      <c r="A447" s="59" t="n"/>
      <c r="B447" s="59" t="n"/>
      <c r="C447" s="60" t="n"/>
      <c r="D447" s="59" t="n"/>
      <c r="E447" s="59" t="n"/>
      <c r="F447" s="59" t="n"/>
      <c r="G447" s="59" t="n"/>
      <c r="H447" s="59" t="n"/>
      <c r="I447" s="59" t="n"/>
      <c r="J447" s="61" t="n"/>
      <c r="K447" s="59" t="n"/>
      <c r="L447" s="62" t="n"/>
      <c r="M447" s="59" t="n"/>
      <c r="N447" s="59" t="n"/>
    </row>
    <row r="448">
      <c r="A448" s="63" t="n"/>
      <c r="B448" s="63" t="n"/>
      <c r="C448" s="64" t="n"/>
      <c r="D448" s="63" t="n"/>
      <c r="E448" s="63" t="n"/>
      <c r="F448" s="63" t="n"/>
      <c r="G448" s="63" t="n"/>
      <c r="H448" s="63" t="n"/>
      <c r="I448" s="63" t="n"/>
      <c r="J448" s="65" t="n"/>
      <c r="K448" s="63" t="n"/>
      <c r="L448" s="15" t="n"/>
      <c r="M448" s="63" t="n"/>
      <c r="N448" s="16" t="n"/>
    </row>
    <row r="449" ht="130.5" customHeight="1">
      <c r="A449" s="59" t="n"/>
      <c r="B449" s="59" t="n"/>
      <c r="C449" s="60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62" t="n"/>
      <c r="M449" s="59" t="n"/>
      <c r="N449" s="59" t="n"/>
    </row>
    <row r="450" ht="115.5" customHeight="1">
      <c r="A450" s="63" t="n"/>
      <c r="B450" s="63" t="n"/>
      <c r="C450" s="64" t="n"/>
      <c r="D450" s="63" t="n"/>
      <c r="E450" s="63" t="n"/>
      <c r="F450" s="63" t="n"/>
      <c r="G450" s="63" t="n"/>
      <c r="H450" s="63" t="n"/>
      <c r="I450" s="63" t="n"/>
      <c r="J450" s="65" t="n"/>
      <c r="K450" s="63" t="n"/>
      <c r="L450" s="15" t="n"/>
      <c r="M450" s="63" t="n"/>
      <c r="N450" s="63" t="n"/>
    </row>
    <row r="451" ht="57.75" customHeight="1">
      <c r="A451" s="59" t="n"/>
      <c r="B451" s="59" t="n"/>
      <c r="C451" s="60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62" t="n"/>
      <c r="M451" s="59" t="n"/>
      <c r="N451" s="59" t="n"/>
    </row>
    <row r="452">
      <c r="A452" s="63" t="n"/>
      <c r="B452" s="63" t="n"/>
      <c r="C452" s="64" t="n"/>
      <c r="D452" s="63" t="n"/>
      <c r="E452" s="63" t="n"/>
      <c r="F452" s="63" t="n"/>
      <c r="G452" s="63" t="n"/>
      <c r="H452" s="63" t="n"/>
      <c r="I452" s="63" t="n"/>
      <c r="J452" s="65" t="n"/>
      <c r="K452" s="63" t="n"/>
      <c r="L452" s="15" t="n"/>
      <c r="M452" s="63" t="n"/>
      <c r="N452" s="63" t="n"/>
    </row>
    <row r="453" ht="231" customHeight="1">
      <c r="A453" s="59" t="n"/>
      <c r="B453" s="59" t="n"/>
      <c r="C453" s="60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62" t="n"/>
      <c r="M453" s="59" t="n"/>
      <c r="N453" s="17" t="n"/>
    </row>
    <row r="454" ht="231" customHeight="1">
      <c r="A454" s="63" t="n"/>
      <c r="B454" s="63" t="n"/>
      <c r="C454" s="64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15" t="n"/>
      <c r="M454" s="63" t="n"/>
      <c r="N454" s="63" t="n"/>
    </row>
    <row r="455" ht="231" customHeight="1">
      <c r="A455" s="59" t="n"/>
      <c r="B455" s="59" t="n"/>
      <c r="C455" s="60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62" t="n"/>
      <c r="M455" s="59" t="n"/>
      <c r="N455" s="59" t="n"/>
    </row>
    <row r="456" ht="43.5" customHeight="1">
      <c r="A456" s="63" t="n"/>
      <c r="B456" s="63" t="n"/>
      <c r="C456" s="64" t="n"/>
      <c r="D456" s="63" t="n"/>
      <c r="E456" s="63" t="n"/>
      <c r="F456" s="63" t="n"/>
      <c r="G456" s="63" t="n"/>
      <c r="H456" s="63" t="n"/>
      <c r="I456" s="63" t="n"/>
      <c r="J456" s="65" t="n"/>
      <c r="K456" s="63" t="n"/>
      <c r="L456" s="15" t="n"/>
      <c r="M456" s="63" t="n"/>
      <c r="N456" s="16" t="n"/>
    </row>
    <row r="457" ht="29.25" customHeight="1">
      <c r="A457" s="59" t="n"/>
      <c r="B457" s="59" t="n"/>
      <c r="C457" s="60" t="n"/>
      <c r="D457" s="59" t="n"/>
      <c r="E457" s="59" t="n"/>
      <c r="F457" s="59" t="n"/>
      <c r="G457" s="59" t="n"/>
      <c r="H457" s="59" t="n"/>
      <c r="I457" s="59" t="n"/>
      <c r="J457" s="61" t="n"/>
      <c r="K457" s="59" t="n"/>
      <c r="L457" s="62" t="n"/>
      <c r="M457" s="59" t="n"/>
      <c r="N457" s="17" t="n"/>
    </row>
    <row r="458" ht="130.5" customHeight="1">
      <c r="A458" s="63" t="n"/>
      <c r="B458" s="63" t="n"/>
      <c r="C458" s="64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15" t="n"/>
      <c r="M458" s="63" t="n"/>
      <c r="N458" s="16" t="n"/>
    </row>
    <row r="459" ht="29.25" customHeight="1">
      <c r="A459" s="59" t="n"/>
      <c r="B459" s="59" t="n"/>
      <c r="C459" s="60" t="n"/>
      <c r="D459" s="59" t="n"/>
      <c r="E459" s="59" t="n"/>
      <c r="F459" s="59" t="n"/>
      <c r="G459" s="59" t="n"/>
      <c r="H459" s="59" t="n"/>
      <c r="I459" s="59" t="n"/>
      <c r="J459" s="61" t="n"/>
      <c r="K459" s="59" t="n"/>
      <c r="L459" s="62" t="n"/>
      <c r="M459" s="59" t="n"/>
      <c r="N459" s="17" t="n"/>
    </row>
    <row r="460" ht="159" customHeight="1">
      <c r="A460" s="63" t="n"/>
      <c r="B460" s="63" t="n"/>
      <c r="C460" s="64" t="n"/>
      <c r="D460" s="63" t="n"/>
      <c r="E460" s="63" t="n"/>
      <c r="F460" s="63" t="n"/>
      <c r="G460" s="63" t="n"/>
      <c r="H460" s="63" t="n"/>
      <c r="I460" s="63" t="n"/>
      <c r="J460" s="65" t="n"/>
      <c r="K460" s="63" t="n"/>
      <c r="L460" s="15" t="n"/>
      <c r="M460" s="63" t="n"/>
      <c r="N460" s="16" t="n"/>
    </row>
    <row r="461">
      <c r="A461" s="59" t="n"/>
      <c r="B461" s="59" t="n"/>
      <c r="C461" s="60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62" t="n"/>
      <c r="M461" s="59" t="n"/>
      <c r="N461" s="17" t="n"/>
    </row>
    <row r="462" ht="87" customHeight="1">
      <c r="A462" s="63" t="n"/>
      <c r="B462" s="63" t="n"/>
      <c r="C462" s="64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15" t="n"/>
      <c r="M462" s="63" t="n"/>
      <c r="N462" s="16" t="n"/>
    </row>
    <row r="463" ht="29.25" customHeight="1">
      <c r="A463" s="59" t="n"/>
      <c r="B463" s="59" t="n"/>
      <c r="C463" s="60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62" t="n"/>
      <c r="M463" s="59" t="n"/>
      <c r="N463" s="59" t="n"/>
    </row>
    <row r="464" ht="72.75" customHeight="1">
      <c r="A464" s="63" t="n"/>
      <c r="B464" s="63" t="n"/>
      <c r="C464" s="64" t="n"/>
      <c r="D464" s="63" t="n"/>
      <c r="E464" s="63" t="n"/>
      <c r="F464" s="63" t="n"/>
      <c r="G464" s="63" t="n"/>
      <c r="H464" s="63" t="n"/>
      <c r="I464" s="63" t="n"/>
      <c r="J464" s="65" t="n"/>
      <c r="K464" s="63" t="n"/>
      <c r="L464" s="15" t="n"/>
      <c r="M464" s="63" t="n"/>
      <c r="N464" s="16" t="n"/>
    </row>
    <row r="465" ht="29.25" customHeight="1">
      <c r="A465" s="59" t="n"/>
      <c r="B465" s="59" t="n"/>
      <c r="C465" s="60" t="n"/>
      <c r="D465" s="59" t="n"/>
      <c r="E465" s="59" t="n"/>
      <c r="F465" s="59" t="n"/>
      <c r="G465" s="59" t="n"/>
      <c r="H465" s="59" t="n"/>
      <c r="I465" s="59" t="n"/>
      <c r="J465" s="61" t="n"/>
      <c r="K465" s="59" t="n"/>
      <c r="L465" s="62" t="n"/>
      <c r="M465" s="59" t="n"/>
      <c r="N465" s="59" t="n"/>
    </row>
    <row r="466" ht="245.25" customHeight="1">
      <c r="A466" s="63" t="n"/>
      <c r="B466" s="63" t="n"/>
      <c r="C466" s="64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15" t="n"/>
      <c r="M466" s="63" t="n"/>
      <c r="N466" s="16" t="n"/>
    </row>
    <row r="467" ht="101.25" customHeight="1">
      <c r="A467" s="59" t="n"/>
      <c r="B467" s="59" t="n"/>
      <c r="C467" s="60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62" t="n"/>
      <c r="M467" s="59" t="n"/>
      <c r="N467" s="17" t="n"/>
    </row>
    <row r="468" ht="159" customHeight="1">
      <c r="A468" s="63" t="n"/>
      <c r="B468" s="63" t="n"/>
      <c r="C468" s="64" t="n"/>
      <c r="D468" s="63" t="n"/>
      <c r="E468" s="63" t="n"/>
      <c r="F468" s="63" t="n"/>
      <c r="G468" s="63" t="n"/>
      <c r="H468" s="63" t="n"/>
      <c r="I468" s="63" t="n"/>
      <c r="J468" s="65" t="n"/>
      <c r="K468" s="63" t="n"/>
      <c r="L468" s="15" t="n"/>
      <c r="M468" s="63" t="n"/>
      <c r="N468" s="16" t="n"/>
    </row>
    <row r="469" ht="130.5" customHeight="1">
      <c r="A469" s="59" t="n"/>
      <c r="B469" s="59" t="n"/>
      <c r="C469" s="60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62" t="n"/>
      <c r="M469" s="59" t="n"/>
      <c r="N469" s="17" t="n"/>
    </row>
    <row r="470" ht="159" customHeight="1">
      <c r="A470" s="63" t="n"/>
      <c r="B470" s="63" t="n"/>
      <c r="C470" s="64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15" t="n"/>
      <c r="M470" s="63" t="n"/>
      <c r="N470" s="16" t="n"/>
    </row>
    <row r="471" ht="57.75" customHeight="1">
      <c r="A471" s="59" t="n"/>
      <c r="B471" s="59" t="n"/>
      <c r="C471" s="60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62" t="n"/>
      <c r="M471" s="59" t="n"/>
      <c r="N471" s="59" t="n"/>
    </row>
    <row r="472" ht="115.5" customHeight="1">
      <c r="A472" s="63" t="n"/>
      <c r="B472" s="63" t="n"/>
      <c r="C472" s="64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15" t="n"/>
      <c r="M472" s="63" t="n"/>
      <c r="N472" s="63" t="n"/>
    </row>
    <row r="473" ht="72.75" customHeight="1">
      <c r="A473" s="59" t="n"/>
      <c r="B473" s="59" t="n"/>
      <c r="C473" s="60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62" t="n"/>
      <c r="M473" s="59" t="n"/>
      <c r="N473" s="17" t="n"/>
    </row>
    <row r="474" ht="130.5" customHeight="1">
      <c r="A474" s="63" t="n"/>
      <c r="B474" s="63" t="n"/>
      <c r="C474" s="64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15" t="n"/>
      <c r="M474" s="63" t="n"/>
      <c r="N474" s="63" t="n"/>
    </row>
    <row r="475" ht="159" customHeight="1">
      <c r="A475" s="59" t="n"/>
      <c r="B475" s="59" t="n"/>
      <c r="C475" s="60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62" t="n"/>
      <c r="M475" s="59" t="n"/>
      <c r="N475" s="17" t="n"/>
    </row>
    <row r="476" ht="144.75" customHeight="1">
      <c r="A476" s="63" t="n"/>
      <c r="B476" s="63" t="n"/>
      <c r="C476" s="64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15" t="n"/>
      <c r="M476" s="63" t="n"/>
      <c r="N476" s="16" t="n"/>
    </row>
    <row r="477" ht="72.75" customHeight="1">
      <c r="A477" s="59" t="n"/>
      <c r="B477" s="59" t="n"/>
      <c r="C477" s="60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62" t="n"/>
      <c r="M477" s="59" t="n"/>
      <c r="N477" s="17" t="n"/>
    </row>
    <row r="478" ht="245.25" customHeight="1">
      <c r="A478" s="63" t="n"/>
      <c r="B478" s="63" t="n"/>
      <c r="C478" s="64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15" t="n"/>
      <c r="M478" s="63" t="n"/>
      <c r="N478" s="16" t="n"/>
    </row>
    <row r="479" ht="87" customHeight="1">
      <c r="A479" s="59" t="n"/>
      <c r="B479" s="59" t="n"/>
      <c r="C479" s="60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62" t="n"/>
      <c r="M479" s="59" t="n"/>
      <c r="N479" s="59" t="n"/>
    </row>
    <row r="480" ht="57.75" customHeight="1">
      <c r="A480" s="63" t="n"/>
      <c r="B480" s="63" t="n"/>
      <c r="C480" s="64" t="n"/>
      <c r="D480" s="63" t="n"/>
      <c r="E480" s="63" t="n"/>
      <c r="F480" s="63" t="n"/>
      <c r="G480" s="63" t="n"/>
      <c r="H480" s="63" t="n"/>
      <c r="I480" s="63" t="n"/>
      <c r="J480" s="65" t="n"/>
      <c r="K480" s="63" t="n"/>
      <c r="L480" s="15" t="n"/>
      <c r="M480" s="63" t="n"/>
      <c r="N480" s="63" t="n"/>
    </row>
    <row r="481" ht="87" customHeight="1">
      <c r="A481" s="59" t="n"/>
      <c r="B481" s="59" t="n"/>
      <c r="C481" s="60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62" t="n"/>
      <c r="M481" s="59" t="n"/>
      <c r="N481" s="59" t="n"/>
    </row>
    <row r="482" ht="115.5" customHeight="1">
      <c r="A482" s="63" t="n"/>
      <c r="B482" s="63" t="n"/>
      <c r="C482" s="64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15" t="n"/>
      <c r="M482" s="63" t="n"/>
      <c r="N482" s="16" t="n"/>
    </row>
    <row r="483" ht="43.5" customHeight="1">
      <c r="A483" s="59" t="n"/>
      <c r="B483" s="59" t="n"/>
      <c r="C483" s="60" t="n"/>
      <c r="D483" s="59" t="n"/>
      <c r="E483" s="59" t="n"/>
      <c r="F483" s="59" t="n"/>
      <c r="G483" s="59" t="n"/>
      <c r="H483" s="59" t="n"/>
      <c r="I483" s="59" t="n"/>
      <c r="J483" s="61" t="n"/>
      <c r="K483" s="59" t="n"/>
      <c r="L483" s="62" t="n"/>
      <c r="M483" s="59" t="n"/>
      <c r="N483" s="59" t="n"/>
    </row>
    <row r="484" ht="43.5" customHeight="1">
      <c r="A484" s="63" t="n"/>
      <c r="B484" s="63" t="n"/>
      <c r="C484" s="64" t="n"/>
      <c r="D484" s="63" t="n"/>
      <c r="E484" s="63" t="n"/>
      <c r="F484" s="63" t="n"/>
      <c r="G484" s="63" t="n"/>
      <c r="H484" s="63" t="n"/>
      <c r="I484" s="63" t="n"/>
      <c r="J484" s="65" t="n"/>
      <c r="K484" s="63" t="n"/>
      <c r="L484" s="15" t="n"/>
      <c r="M484" s="63" t="n"/>
      <c r="N484" s="16" t="n"/>
    </row>
    <row r="485" ht="245.25" customHeight="1">
      <c r="A485" s="59" t="n"/>
      <c r="B485" s="59" t="n"/>
      <c r="C485" s="60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62" t="n"/>
      <c r="M485" s="59" t="n"/>
      <c r="N485" s="59" t="n"/>
    </row>
    <row r="486" ht="115.5" customHeight="1">
      <c r="A486" s="63" t="n"/>
      <c r="B486" s="63" t="n"/>
      <c r="C486" s="64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15" t="n"/>
      <c r="M486" s="63" t="n"/>
      <c r="N486" s="16" t="n"/>
    </row>
    <row r="487" ht="115.5" customHeight="1">
      <c r="A487" s="59" t="n"/>
      <c r="B487" s="59" t="n"/>
      <c r="C487" s="60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62" t="n"/>
      <c r="M487" s="59" t="n"/>
      <c r="N487" s="17" t="n"/>
    </row>
    <row r="488" ht="115.5" customHeight="1">
      <c r="A488" s="63" t="n"/>
      <c r="B488" s="63" t="n"/>
      <c r="C488" s="64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15" t="n"/>
      <c r="M488" s="63" t="n"/>
      <c r="N488" s="16" t="n"/>
    </row>
    <row r="489" ht="245.25" customHeight="1">
      <c r="A489" s="59" t="n"/>
      <c r="B489" s="59" t="n"/>
      <c r="C489" s="60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62" t="n"/>
      <c r="M489" s="59" t="n"/>
      <c r="N489" s="17" t="n"/>
    </row>
    <row r="490" ht="87" customHeight="1">
      <c r="A490" s="63" t="n"/>
      <c r="B490" s="63" t="n"/>
      <c r="C490" s="64" t="n"/>
      <c r="D490" s="63" t="n"/>
      <c r="E490" s="63" t="n"/>
      <c r="F490" s="63" t="n"/>
      <c r="G490" s="63" t="n"/>
      <c r="H490" s="63" t="n"/>
      <c r="I490" s="63" t="n"/>
      <c r="J490" s="65" t="n"/>
      <c r="K490" s="63" t="n"/>
      <c r="L490" s="15" t="n"/>
      <c r="M490" s="63" t="n"/>
      <c r="N490" s="16" t="n"/>
    </row>
    <row r="491" ht="101.25" customHeight="1">
      <c r="A491" s="59" t="n"/>
      <c r="B491" s="59" t="n"/>
      <c r="C491" s="60" t="n"/>
      <c r="D491" s="59" t="n"/>
      <c r="E491" s="59" t="n"/>
      <c r="F491" s="59" t="n"/>
      <c r="G491" s="59" t="n"/>
      <c r="H491" s="59" t="n"/>
      <c r="I491" s="59" t="n"/>
      <c r="J491" s="61" t="n"/>
      <c r="K491" s="59" t="n"/>
      <c r="L491" s="62" t="n"/>
      <c r="M491" s="59" t="n"/>
      <c r="N491" s="59" t="n"/>
    </row>
    <row r="492" ht="43.5" customHeight="1">
      <c r="A492" s="63" t="n"/>
      <c r="B492" s="63" t="n"/>
      <c r="C492" s="64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15" t="n"/>
      <c r="M492" s="63" t="n"/>
      <c r="N492" s="16" t="n"/>
    </row>
    <row r="493">
      <c r="A493" s="59" t="n"/>
      <c r="B493" s="59" t="n"/>
      <c r="C493" s="60" t="n"/>
      <c r="D493" s="59" t="n"/>
      <c r="E493" s="59" t="n"/>
      <c r="F493" s="59" t="n"/>
      <c r="G493" s="59" t="n"/>
      <c r="H493" s="59" t="n"/>
      <c r="I493" s="59" t="n"/>
      <c r="J493" s="61" t="n"/>
      <c r="K493" s="59" t="n"/>
      <c r="L493" s="62" t="n"/>
      <c r="M493" s="59" t="n"/>
      <c r="N493" s="17" t="n"/>
    </row>
    <row r="494" ht="43.5" customHeight="1">
      <c r="A494" s="63" t="n"/>
      <c r="B494" s="63" t="n"/>
      <c r="C494" s="64" t="n"/>
      <c r="D494" s="63" t="n"/>
      <c r="E494" s="63" t="n"/>
      <c r="F494" s="63" t="n"/>
      <c r="G494" s="63" t="n"/>
      <c r="H494" s="63" t="n"/>
      <c r="I494" s="63" t="n"/>
      <c r="J494" s="65" t="n"/>
      <c r="K494" s="63" t="n"/>
      <c r="L494" s="15" t="n"/>
      <c r="M494" s="63" t="n"/>
      <c r="N494" s="63" t="n"/>
    </row>
    <row r="495" ht="87" customHeight="1">
      <c r="A495" s="59" t="n"/>
      <c r="B495" s="59" t="n"/>
      <c r="C495" s="60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62" t="n"/>
      <c r="M495" s="59" t="n"/>
      <c r="N495" s="17" t="n"/>
    </row>
    <row r="496" ht="29.25" customHeight="1">
      <c r="A496" s="63" t="n"/>
      <c r="B496" s="63" t="n"/>
      <c r="C496" s="64" t="n"/>
      <c r="D496" s="63" t="n"/>
      <c r="E496" s="63" t="n"/>
      <c r="F496" s="63" t="n"/>
      <c r="G496" s="63" t="n"/>
      <c r="H496" s="63" t="n"/>
      <c r="I496" s="63" t="n"/>
      <c r="J496" s="65" t="n"/>
      <c r="K496" s="63" t="n"/>
      <c r="L496" s="15" t="n"/>
      <c r="M496" s="63" t="n"/>
      <c r="N496" s="16" t="n"/>
    </row>
    <row r="497" ht="159" customHeight="1">
      <c r="A497" s="59" t="n"/>
      <c r="B497" s="59" t="n"/>
      <c r="C497" s="60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62" t="n"/>
      <c r="M497" s="59" t="n"/>
      <c r="N497" s="59" t="n"/>
    </row>
    <row r="498" ht="29.25" customHeight="1">
      <c r="A498" s="63" t="n"/>
      <c r="B498" s="63" t="n"/>
      <c r="C498" s="64" t="n"/>
      <c r="D498" s="63" t="n"/>
      <c r="E498" s="63" t="n"/>
      <c r="F498" s="63" t="n"/>
      <c r="G498" s="63" t="n"/>
      <c r="H498" s="63" t="n"/>
      <c r="I498" s="63" t="n"/>
      <c r="J498" s="65" t="n"/>
      <c r="K498" s="63" t="n"/>
      <c r="L498" s="15" t="n"/>
      <c r="M498" s="63" t="n"/>
      <c r="N498" s="16" t="n"/>
    </row>
    <row r="499" ht="43.5" customHeight="1">
      <c r="A499" s="59" t="n"/>
      <c r="B499" s="59" t="n"/>
      <c r="C499" s="60" t="n"/>
      <c r="D499" s="59" t="n"/>
      <c r="E499" s="59" t="n"/>
      <c r="F499" s="59" t="n"/>
      <c r="G499" s="59" t="n"/>
      <c r="H499" s="59" t="n"/>
      <c r="I499" s="59" t="n"/>
      <c r="J499" s="61" t="n"/>
      <c r="K499" s="59" t="n"/>
      <c r="L499" s="62" t="n"/>
      <c r="M499" s="59" t="n"/>
      <c r="N499" s="17" t="n"/>
    </row>
    <row r="500" ht="87" customHeight="1">
      <c r="A500" s="63" t="n"/>
      <c r="B500" s="63" t="n"/>
      <c r="C500" s="64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15" t="n"/>
      <c r="M500" s="63" t="n"/>
      <c r="N500" s="16" t="n"/>
    </row>
    <row r="501" ht="245.25" customHeight="1">
      <c r="A501" s="59" t="n"/>
      <c r="B501" s="59" t="n"/>
      <c r="C501" s="60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62" t="n"/>
      <c r="M501" s="59" t="n"/>
      <c r="N501" s="17" t="n"/>
    </row>
    <row r="502" ht="130.5" customHeight="1">
      <c r="A502" s="63" t="n"/>
      <c r="B502" s="63" t="n"/>
      <c r="C502" s="64" t="n"/>
      <c r="D502" s="63" t="n"/>
      <c r="E502" s="63" t="n"/>
      <c r="F502" s="63" t="n"/>
      <c r="G502" s="63" t="n"/>
      <c r="H502" s="63" t="n"/>
      <c r="I502" s="63" t="n"/>
      <c r="J502" s="65" t="n"/>
      <c r="K502" s="63" t="n"/>
      <c r="L502" s="15" t="n"/>
      <c r="M502" s="63" t="n"/>
      <c r="N502" s="63" t="n"/>
    </row>
    <row r="503" ht="43.5" customHeight="1">
      <c r="A503" s="59" t="n"/>
      <c r="B503" s="59" t="n"/>
      <c r="C503" s="60" t="n"/>
      <c r="D503" s="59" t="n"/>
      <c r="E503" s="59" t="n"/>
      <c r="F503" s="59" t="n"/>
      <c r="G503" s="59" t="n"/>
      <c r="H503" s="59" t="n"/>
      <c r="I503" s="59" t="n"/>
      <c r="J503" s="61" t="n"/>
      <c r="K503" s="59" t="n"/>
      <c r="L503" s="62" t="n"/>
      <c r="M503" s="59" t="n"/>
      <c r="N503" s="17" t="n"/>
    </row>
    <row r="504" ht="57.75" customHeight="1">
      <c r="A504" s="63" t="n"/>
      <c r="B504" s="63" t="n"/>
      <c r="C504" s="64" t="n"/>
      <c r="D504" s="63" t="n"/>
      <c r="E504" s="63" t="n"/>
      <c r="F504" s="63" t="n"/>
      <c r="G504" s="63" t="n"/>
      <c r="H504" s="63" t="n"/>
      <c r="I504" s="63" t="n"/>
      <c r="J504" s="65" t="n"/>
      <c r="K504" s="63" t="n"/>
      <c r="L504" s="15" t="n"/>
      <c r="M504" s="63" t="n"/>
      <c r="N504" s="16" t="n"/>
    </row>
    <row r="505" ht="72.75" customHeight="1">
      <c r="A505" s="59" t="n"/>
      <c r="B505" s="59" t="n"/>
      <c r="C505" s="60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62" t="n"/>
      <c r="M505" s="59" t="n"/>
      <c r="N505" s="17" t="n"/>
    </row>
    <row r="506" ht="115.5" customHeight="1">
      <c r="A506" s="63" t="n"/>
      <c r="B506" s="63" t="n"/>
      <c r="C506" s="64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15" t="n"/>
      <c r="M506" s="63" t="n"/>
      <c r="N506" s="63" t="n"/>
    </row>
    <row r="507" ht="115.5" customHeight="1">
      <c r="A507" s="59" t="n"/>
      <c r="B507" s="59" t="n"/>
      <c r="C507" s="60" t="n"/>
      <c r="D507" s="59" t="n"/>
      <c r="E507" s="59" t="n"/>
      <c r="F507" s="59" t="n"/>
      <c r="G507" s="59" t="n"/>
      <c r="H507" s="59" t="n"/>
      <c r="I507" s="59" t="n"/>
      <c r="J507" s="61" t="n"/>
      <c r="K507" s="59" t="n"/>
      <c r="L507" s="62" t="n"/>
      <c r="M507" s="59" t="n"/>
      <c r="N507" s="59" t="n"/>
    </row>
    <row r="508" ht="101.25" customHeight="1">
      <c r="A508" s="63" t="n"/>
      <c r="B508" s="63" t="n"/>
      <c r="C508" s="64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15" t="n"/>
      <c r="M508" s="63" t="n"/>
      <c r="N508" s="16" t="n"/>
    </row>
    <row r="509" ht="101.25" customHeight="1">
      <c r="A509" s="59" t="n"/>
      <c r="B509" s="59" t="n"/>
      <c r="C509" s="60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62" t="n"/>
      <c r="M509" s="59" t="n"/>
      <c r="N509" s="17" t="n"/>
    </row>
    <row r="510" ht="130.5" customHeight="1">
      <c r="A510" s="63" t="n"/>
      <c r="B510" s="63" t="n"/>
      <c r="C510" s="64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15" t="n"/>
      <c r="M510" s="63" t="n"/>
      <c r="N510" s="63" t="n"/>
    </row>
    <row r="511" ht="144.75" customHeight="1">
      <c r="A511" s="59" t="n"/>
      <c r="B511" s="59" t="n"/>
      <c r="C511" s="60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62" t="n"/>
      <c r="M511" s="59" t="n"/>
      <c r="N511" s="59" t="n"/>
    </row>
    <row r="512" ht="87" customHeight="1">
      <c r="A512" s="63" t="n"/>
      <c r="B512" s="63" t="n"/>
      <c r="C512" s="64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15" t="n"/>
      <c r="M512" s="63" t="n"/>
      <c r="N512" s="16" t="n"/>
    </row>
    <row r="513" ht="115.5" customHeight="1">
      <c r="A513" s="59" t="n"/>
      <c r="B513" s="59" t="n"/>
      <c r="C513" s="60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62" t="n"/>
      <c r="M513" s="59" t="n"/>
      <c r="N513" s="17" t="n"/>
    </row>
    <row r="514" ht="144.75" customHeight="1">
      <c r="A514" s="63" t="n"/>
      <c r="B514" s="63" t="n"/>
      <c r="C514" s="64" t="n"/>
      <c r="D514" s="63" t="n"/>
      <c r="E514" s="63" t="n"/>
      <c r="F514" s="63" t="n"/>
      <c r="G514" s="63" t="n"/>
      <c r="H514" s="63" t="n"/>
      <c r="I514" s="63" t="n"/>
      <c r="J514" s="65" t="n"/>
      <c r="K514" s="63" t="n"/>
      <c r="L514" s="15" t="n"/>
      <c r="M514" s="63" t="n"/>
      <c r="N514" s="16" t="n"/>
    </row>
    <row r="515" ht="144.75" customHeight="1">
      <c r="A515" s="59" t="n"/>
      <c r="B515" s="59" t="n"/>
      <c r="C515" s="60" t="n"/>
      <c r="D515" s="59" t="n"/>
      <c r="E515" s="59" t="n"/>
      <c r="F515" s="59" t="n"/>
      <c r="G515" s="59" t="n"/>
      <c r="H515" s="59" t="n"/>
      <c r="I515" s="59" t="n"/>
      <c r="J515" s="61" t="n"/>
      <c r="K515" s="59" t="n"/>
      <c r="L515" s="62" t="n"/>
      <c r="M515" s="59" t="n"/>
      <c r="N515" s="17" t="n"/>
    </row>
    <row r="516" ht="144.75" customHeight="1">
      <c r="A516" s="63" t="n"/>
      <c r="B516" s="63" t="n"/>
      <c r="C516" s="64" t="n"/>
      <c r="D516" s="63" t="n"/>
      <c r="E516" s="63" t="n"/>
      <c r="F516" s="63" t="n"/>
      <c r="G516" s="63" t="n"/>
      <c r="H516" s="63" t="n"/>
      <c r="I516" s="63" t="n"/>
      <c r="J516" s="65" t="n"/>
      <c r="K516" s="63" t="n"/>
      <c r="L516" s="15" t="n"/>
      <c r="M516" s="63" t="n"/>
      <c r="N516" s="16" t="n"/>
    </row>
    <row r="517" ht="130.5" customHeight="1">
      <c r="A517" s="59" t="n"/>
      <c r="B517" s="59" t="n"/>
      <c r="C517" s="60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62" t="n"/>
      <c r="M517" s="59" t="n"/>
      <c r="N517" s="59" t="n"/>
    </row>
    <row r="518" ht="43.5" customHeight="1">
      <c r="A518" s="63" t="n"/>
      <c r="B518" s="63" t="n"/>
      <c r="C518" s="64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15" t="n"/>
      <c r="M518" s="63" t="n"/>
      <c r="N518" s="63" t="n"/>
    </row>
    <row r="519" ht="29.25" customHeight="1">
      <c r="A519" s="59" t="n"/>
      <c r="B519" s="59" t="n"/>
      <c r="C519" s="60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62" t="n"/>
      <c r="M519" s="59" t="n"/>
      <c r="N519" s="17" t="n"/>
    </row>
    <row r="520">
      <c r="A520" s="63" t="n"/>
      <c r="B520" s="63" t="n"/>
      <c r="C520" s="64" t="n"/>
      <c r="D520" s="63" t="n"/>
      <c r="E520" s="63" t="n"/>
      <c r="F520" s="63" t="n"/>
      <c r="G520" s="63" t="n"/>
      <c r="H520" s="63" t="n"/>
      <c r="I520" s="63" t="n"/>
      <c r="J520" s="65" t="n"/>
      <c r="K520" s="63" t="n"/>
      <c r="L520" s="15" t="n"/>
      <c r="M520" s="63" t="n"/>
      <c r="N520" s="16" t="n"/>
    </row>
    <row r="521" ht="274.5" customHeight="1">
      <c r="A521" s="59" t="n"/>
      <c r="B521" s="59" t="n"/>
      <c r="C521" s="60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62" t="n"/>
      <c r="M521" s="59" t="n"/>
      <c r="N521" s="59" t="n"/>
    </row>
    <row r="522" ht="231" customHeight="1">
      <c r="A522" s="63" t="n"/>
      <c r="B522" s="63" t="n"/>
      <c r="C522" s="64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15" t="n"/>
      <c r="M522" s="63" t="n"/>
      <c r="N522" s="16" t="n"/>
    </row>
    <row r="523" ht="130.5" customHeight="1">
      <c r="A523" s="59" t="n"/>
      <c r="B523" s="59" t="n"/>
      <c r="C523" s="60" t="n"/>
      <c r="D523" s="59" t="n"/>
      <c r="E523" s="59" t="n"/>
      <c r="F523" s="59" t="n"/>
      <c r="G523" s="59" t="n"/>
      <c r="H523" s="59" t="n"/>
      <c r="I523" s="59" t="n"/>
      <c r="J523" s="61" t="n"/>
      <c r="K523" s="59" t="n"/>
      <c r="L523" s="62" t="n"/>
      <c r="M523" s="59" t="n"/>
      <c r="N523" s="17" t="n"/>
    </row>
    <row r="524" ht="72.75" customHeight="1">
      <c r="A524" s="63" t="n"/>
      <c r="B524" s="63" t="n"/>
      <c r="C524" s="64" t="n"/>
      <c r="D524" s="63" t="n"/>
      <c r="E524" s="63" t="n"/>
      <c r="F524" s="63" t="n"/>
      <c r="G524" s="63" t="n"/>
      <c r="H524" s="63" t="n"/>
      <c r="I524" s="63" t="n"/>
      <c r="J524" s="65" t="n"/>
      <c r="K524" s="63" t="n"/>
      <c r="L524" s="15" t="n"/>
      <c r="M524" s="63" t="n"/>
      <c r="N524" s="63" t="n"/>
    </row>
    <row r="525" ht="159" customHeight="1">
      <c r="A525" s="59" t="n"/>
      <c r="B525" s="59" t="n"/>
      <c r="C525" s="60" t="n"/>
      <c r="D525" s="59" t="n"/>
      <c r="E525" s="59" t="n"/>
      <c r="F525" s="59" t="n"/>
      <c r="G525" s="59" t="n"/>
      <c r="H525" s="59" t="n"/>
      <c r="I525" s="59" t="n"/>
      <c r="J525" s="61" t="n"/>
      <c r="K525" s="59" t="n"/>
      <c r="L525" s="62" t="n"/>
      <c r="M525" s="59" t="n"/>
      <c r="N525" s="17" t="n"/>
    </row>
    <row r="526" ht="72.75" customHeight="1">
      <c r="A526" s="63" t="n"/>
      <c r="B526" s="63" t="n"/>
      <c r="C526" s="64" t="n"/>
      <c r="D526" s="63" t="n"/>
      <c r="E526" s="63" t="n"/>
      <c r="F526" s="63" t="n"/>
      <c r="G526" s="63" t="n"/>
      <c r="H526" s="63" t="n"/>
      <c r="I526" s="63" t="n"/>
      <c r="J526" s="65" t="n"/>
      <c r="K526" s="63" t="n"/>
      <c r="L526" s="15" t="n"/>
      <c r="M526" s="63" t="n"/>
      <c r="N526" s="16" t="n"/>
    </row>
    <row r="527" ht="144.75" customHeight="1">
      <c r="A527" s="59" t="n"/>
      <c r="B527" s="59" t="n"/>
      <c r="C527" s="60" t="n"/>
      <c r="D527" s="59" t="n"/>
      <c r="E527" s="59" t="n"/>
      <c r="F527" s="59" t="n"/>
      <c r="G527" s="59" t="n"/>
      <c r="H527" s="59" t="n"/>
      <c r="I527" s="59" t="n"/>
      <c r="J527" s="61" t="n"/>
      <c r="K527" s="59" t="n"/>
      <c r="L527" s="62" t="n"/>
      <c r="M527" s="59" t="n"/>
      <c r="N527" s="59" t="n"/>
    </row>
    <row r="528" ht="87" customHeight="1">
      <c r="A528" s="63" t="n"/>
      <c r="B528" s="63" t="n"/>
      <c r="C528" s="64" t="n"/>
      <c r="D528" s="63" t="n"/>
      <c r="E528" s="63" t="n"/>
      <c r="F528" s="63" t="n"/>
      <c r="G528" s="63" t="n"/>
      <c r="H528" s="63" t="n"/>
      <c r="I528" s="63" t="n"/>
      <c r="J528" s="65" t="n"/>
      <c r="K528" s="63" t="n"/>
      <c r="L528" s="15" t="n"/>
      <c r="M528" s="63" t="n"/>
      <c r="N528" s="16" t="n"/>
    </row>
    <row r="529" ht="29.25" customHeight="1">
      <c r="A529" s="59" t="n"/>
      <c r="B529" s="59" t="n"/>
      <c r="C529" s="60" t="n"/>
      <c r="D529" s="59" t="n"/>
      <c r="E529" s="59" t="n"/>
      <c r="F529" s="59" t="n"/>
      <c r="G529" s="59" t="n"/>
      <c r="H529" s="59" t="n"/>
      <c r="I529" s="59" t="n"/>
      <c r="J529" s="61" t="n"/>
      <c r="K529" s="59" t="n"/>
      <c r="L529" s="62" t="n"/>
      <c r="M529" s="59" t="n"/>
      <c r="N529" s="17" t="n"/>
    </row>
    <row r="530" ht="72.75" customHeight="1">
      <c r="A530" s="63" t="n"/>
      <c r="B530" s="63" t="n"/>
      <c r="C530" s="64" t="n"/>
      <c r="D530" s="63" t="n"/>
      <c r="E530" s="63" t="n"/>
      <c r="F530" s="63" t="n"/>
      <c r="G530" s="63" t="n"/>
      <c r="H530" s="63" t="n"/>
      <c r="I530" s="63" t="n"/>
      <c r="J530" s="65" t="n"/>
      <c r="K530" s="63" t="n"/>
      <c r="L530" s="15" t="n"/>
      <c r="M530" s="63" t="n"/>
      <c r="N530" s="16" t="n"/>
    </row>
    <row r="531" ht="245.25" customHeight="1">
      <c r="A531" s="59" t="n"/>
      <c r="B531" s="59" t="n"/>
      <c r="C531" s="60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62" t="n"/>
      <c r="M531" s="59" t="n"/>
      <c r="N531" s="59" t="n"/>
    </row>
    <row r="532" ht="72.75" customHeight="1">
      <c r="A532" s="63" t="n"/>
      <c r="B532" s="63" t="n"/>
      <c r="C532" s="64" t="n"/>
      <c r="D532" s="63" t="n"/>
      <c r="E532" s="63" t="n"/>
      <c r="F532" s="63" t="n"/>
      <c r="G532" s="63" t="n"/>
      <c r="H532" s="63" t="n"/>
      <c r="I532" s="63" t="n"/>
      <c r="J532" s="65" t="n"/>
      <c r="K532" s="63" t="n"/>
      <c r="L532" s="15" t="n"/>
      <c r="M532" s="63" t="n"/>
      <c r="N532" s="16" t="n"/>
    </row>
    <row r="533" ht="72.75" customHeight="1">
      <c r="A533" s="59" t="n"/>
      <c r="B533" s="59" t="n"/>
      <c r="C533" s="60" t="n"/>
      <c r="D533" s="59" t="n"/>
      <c r="E533" s="59" t="n"/>
      <c r="F533" s="59" t="n"/>
      <c r="G533" s="59" t="n"/>
      <c r="H533" s="59" t="n"/>
      <c r="I533" s="59" t="n"/>
      <c r="J533" s="61" t="n"/>
      <c r="K533" s="59" t="n"/>
      <c r="L533" s="62" t="n"/>
      <c r="M533" s="59" t="n"/>
      <c r="N533" s="17" t="n"/>
    </row>
    <row r="534" ht="72.75" customHeight="1">
      <c r="A534" s="63" t="n"/>
      <c r="B534" s="63" t="n"/>
      <c r="C534" s="64" t="n"/>
      <c r="D534" s="63" t="n"/>
      <c r="E534" s="63" t="n"/>
      <c r="F534" s="63" t="n"/>
      <c r="G534" s="63" t="n"/>
      <c r="H534" s="63" t="n"/>
      <c r="I534" s="63" t="n"/>
      <c r="J534" s="65" t="n"/>
      <c r="K534" s="63" t="n"/>
      <c r="L534" s="15" t="n"/>
      <c r="M534" s="63" t="n"/>
      <c r="N534" s="16" t="n"/>
    </row>
    <row r="535" ht="72.75" customHeight="1">
      <c r="A535" s="59" t="n"/>
      <c r="B535" s="59" t="n"/>
      <c r="C535" s="60" t="n"/>
      <c r="D535" s="59" t="n"/>
      <c r="E535" s="59" t="n"/>
      <c r="F535" s="59" t="n"/>
      <c r="G535" s="59" t="n"/>
      <c r="H535" s="59" t="n"/>
      <c r="I535" s="59" t="n"/>
      <c r="J535" s="61" t="n"/>
      <c r="K535" s="59" t="n"/>
      <c r="L535" s="62" t="n"/>
      <c r="M535" s="59" t="n"/>
      <c r="N535" s="59" t="n"/>
    </row>
    <row r="536" ht="72.75" customHeight="1">
      <c r="A536" s="63" t="n"/>
      <c r="B536" s="63" t="n"/>
      <c r="C536" s="64" t="n"/>
      <c r="D536" s="63" t="n"/>
      <c r="E536" s="63" t="n"/>
      <c r="F536" s="63" t="n"/>
      <c r="G536" s="63" t="n"/>
      <c r="H536" s="63" t="n"/>
      <c r="I536" s="63" t="n"/>
      <c r="J536" s="65" t="n"/>
      <c r="K536" s="63" t="n"/>
      <c r="L536" s="15" t="n"/>
      <c r="M536" s="63" t="n"/>
      <c r="N536" s="63" t="n"/>
    </row>
    <row r="537" ht="101.25" customHeight="1">
      <c r="A537" s="59" t="n"/>
      <c r="B537" s="59" t="n"/>
      <c r="C537" s="60" t="n"/>
      <c r="D537" s="59" t="n"/>
      <c r="E537" s="59" t="n"/>
      <c r="F537" s="59" t="n"/>
      <c r="G537" s="59" t="n"/>
      <c r="H537" s="59" t="n"/>
      <c r="I537" s="59" t="n"/>
      <c r="J537" s="61" t="n"/>
      <c r="K537" s="59" t="n"/>
      <c r="L537" s="62" t="n"/>
      <c r="M537" s="59" t="n"/>
      <c r="N537" s="17" t="n"/>
    </row>
    <row r="538">
      <c r="A538" s="63" t="n"/>
      <c r="B538" s="63" t="n"/>
      <c r="C538" s="64" t="n"/>
      <c r="D538" s="63" t="n"/>
      <c r="E538" s="63" t="n"/>
      <c r="F538" s="63" t="n"/>
      <c r="G538" s="63" t="n"/>
      <c r="H538" s="63" t="n"/>
      <c r="I538" s="63" t="n"/>
      <c r="J538" s="65" t="n"/>
      <c r="K538" s="63" t="n"/>
      <c r="L538" s="15" t="n"/>
      <c r="M538" s="63" t="n"/>
      <c r="N538" s="16" t="n"/>
    </row>
    <row r="539" ht="29.25" customHeight="1">
      <c r="A539" s="59" t="n"/>
      <c r="B539" s="59" t="n"/>
      <c r="C539" s="60" t="n"/>
      <c r="D539" s="59" t="n"/>
      <c r="E539" s="59" t="n"/>
      <c r="F539" s="59" t="n"/>
      <c r="G539" s="59" t="n"/>
      <c r="H539" s="59" t="n"/>
      <c r="I539" s="59" t="n"/>
      <c r="J539" s="61" t="n"/>
      <c r="K539" s="59" t="n"/>
      <c r="L539" s="62" t="n"/>
      <c r="M539" s="59" t="n"/>
      <c r="N539" s="17" t="n"/>
    </row>
    <row r="540" ht="115.5" customHeight="1">
      <c r="A540" s="63" t="n"/>
      <c r="B540" s="63" t="n"/>
      <c r="C540" s="64" t="n"/>
      <c r="D540" s="63" t="n"/>
      <c r="E540" s="63" t="n"/>
      <c r="F540" s="63" t="n"/>
      <c r="G540" s="63" t="n"/>
      <c r="H540" s="63" t="n"/>
      <c r="I540" s="63" t="n"/>
      <c r="J540" s="65" t="n"/>
      <c r="K540" s="63" t="n"/>
      <c r="L540" s="15" t="n"/>
      <c r="M540" s="63" t="n"/>
      <c r="N540" s="63" t="n"/>
    </row>
    <row r="541" ht="115.5" customHeight="1">
      <c r="A541" s="59" t="n"/>
      <c r="B541" s="59" t="n"/>
      <c r="C541" s="60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62" t="n"/>
      <c r="M541" s="59" t="n"/>
      <c r="N541" s="59" t="n"/>
    </row>
    <row r="542" ht="72.75" customHeight="1">
      <c r="A542" s="63" t="n"/>
      <c r="B542" s="63" t="n"/>
      <c r="C542" s="64" t="n"/>
      <c r="D542" s="63" t="n"/>
      <c r="E542" s="63" t="n"/>
      <c r="F542" s="63" t="n"/>
      <c r="G542" s="63" t="n"/>
      <c r="H542" s="63" t="n"/>
      <c r="I542" s="63" t="n"/>
      <c r="J542" s="65" t="n"/>
      <c r="K542" s="63" t="n"/>
      <c r="L542" s="15" t="n"/>
      <c r="M542" s="63" t="n"/>
      <c r="N542" s="16" t="n"/>
    </row>
    <row r="543" ht="87" customHeight="1">
      <c r="A543" s="59" t="n"/>
      <c r="B543" s="59" t="n"/>
      <c r="C543" s="60" t="n"/>
      <c r="D543" s="59" t="n"/>
      <c r="E543" s="59" t="n"/>
      <c r="F543" s="59" t="n"/>
      <c r="G543" s="59" t="n"/>
      <c r="H543" s="59" t="n"/>
      <c r="I543" s="59" t="n"/>
      <c r="J543" s="61" t="n"/>
      <c r="K543" s="59" t="n"/>
      <c r="L543" s="62" t="n"/>
      <c r="M543" s="59" t="n"/>
      <c r="N543" s="17" t="n"/>
    </row>
    <row r="544" ht="72.75" customHeight="1">
      <c r="A544" s="63" t="n"/>
      <c r="B544" s="63" t="n"/>
      <c r="C544" s="64" t="n"/>
      <c r="D544" s="63" t="n"/>
      <c r="E544" s="63" t="n"/>
      <c r="F544" s="63" t="n"/>
      <c r="G544" s="63" t="n"/>
      <c r="H544" s="63" t="n"/>
      <c r="I544" s="63" t="n"/>
      <c r="J544" s="65" t="n"/>
      <c r="K544" s="63" t="n"/>
      <c r="L544" s="15" t="n"/>
      <c r="M544" s="63" t="n"/>
      <c r="N544" s="16" t="n"/>
    </row>
    <row r="545" ht="87" customHeight="1">
      <c r="A545" s="59" t="n"/>
      <c r="B545" s="59" t="n"/>
      <c r="C545" s="60" t="n"/>
      <c r="D545" s="59" t="n"/>
      <c r="E545" s="59" t="n"/>
      <c r="F545" s="59" t="n"/>
      <c r="G545" s="59" t="n"/>
      <c r="H545" s="59" t="n"/>
      <c r="I545" s="59" t="n"/>
      <c r="J545" s="61" t="n"/>
      <c r="K545" s="59" t="n"/>
      <c r="L545" s="62" t="n"/>
      <c r="M545" s="59" t="n"/>
      <c r="N545" s="59" t="n"/>
    </row>
    <row r="546" ht="101.25" customHeight="1">
      <c r="A546" s="63" t="n"/>
      <c r="B546" s="63" t="n"/>
      <c r="C546" s="64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15" t="n"/>
      <c r="M546" s="63" t="n"/>
      <c r="N546" s="63" t="n"/>
    </row>
    <row r="547" ht="87" customHeight="1">
      <c r="A547" s="59" t="n"/>
      <c r="B547" s="59" t="n"/>
      <c r="C547" s="60" t="n"/>
      <c r="D547" s="59" t="n"/>
      <c r="E547" s="59" t="n"/>
      <c r="F547" s="59" t="n"/>
      <c r="G547" s="59" t="n"/>
      <c r="H547" s="59" t="n"/>
      <c r="I547" s="59" t="n"/>
      <c r="J547" s="61" t="n"/>
      <c r="K547" s="59" t="n"/>
      <c r="L547" s="62" t="n"/>
      <c r="M547" s="59" t="n"/>
      <c r="N547" s="17" t="n"/>
    </row>
    <row r="548" ht="87" customHeight="1">
      <c r="A548" s="63" t="n"/>
      <c r="B548" s="63" t="n"/>
      <c r="C548" s="64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15" t="n"/>
      <c r="M548" s="63" t="n"/>
      <c r="N548" s="16" t="n"/>
    </row>
    <row r="549" ht="72.75" customHeight="1">
      <c r="A549" s="59" t="n"/>
      <c r="B549" s="59" t="n"/>
      <c r="C549" s="60" t="n"/>
      <c r="D549" s="59" t="n"/>
      <c r="E549" s="59" t="n"/>
      <c r="F549" s="59" t="n"/>
      <c r="G549" s="59" t="n"/>
      <c r="H549" s="59" t="n"/>
      <c r="I549" s="59" t="n"/>
      <c r="J549" s="61" t="n"/>
      <c r="K549" s="59" t="n"/>
      <c r="L549" s="62" t="n"/>
      <c r="M549" s="59" t="n"/>
      <c r="N549" s="17" t="n"/>
    </row>
    <row r="550" ht="87" customHeight="1">
      <c r="A550" s="63" t="n"/>
      <c r="B550" s="63" t="n"/>
      <c r="C550" s="64" t="n"/>
      <c r="D550" s="63" t="n"/>
      <c r="E550" s="63" t="n"/>
      <c r="F550" s="63" t="n"/>
      <c r="G550" s="63" t="n"/>
      <c r="H550" s="63" t="n"/>
      <c r="I550" s="63" t="n"/>
      <c r="J550" s="65" t="n"/>
      <c r="K550" s="63" t="n"/>
      <c r="L550" s="15" t="n"/>
      <c r="M550" s="63" t="n"/>
      <c r="N550" s="63" t="n"/>
    </row>
    <row r="551" ht="159" customHeight="1">
      <c r="A551" s="59" t="n"/>
      <c r="B551" s="59" t="n"/>
      <c r="C551" s="60" t="n"/>
      <c r="D551" s="59" t="n"/>
      <c r="E551" s="59" t="n"/>
      <c r="F551" s="59" t="n"/>
      <c r="G551" s="59" t="n"/>
      <c r="H551" s="59" t="n"/>
      <c r="I551" s="59" t="n"/>
      <c r="J551" s="68" t="n"/>
      <c r="K551" s="59" t="n"/>
      <c r="L551" s="62" t="n"/>
      <c r="M551" s="59" t="n"/>
      <c r="N551" s="17" t="n"/>
    </row>
    <row r="552" ht="144.75" customHeight="1">
      <c r="A552" s="63" t="n"/>
      <c r="B552" s="63" t="n"/>
      <c r="C552" s="64" t="n"/>
      <c r="D552" s="63" t="n"/>
      <c r="E552" s="63" t="n"/>
      <c r="F552" s="63" t="n"/>
      <c r="G552" s="63" t="n"/>
      <c r="H552" s="63" t="n"/>
      <c r="I552" s="63" t="n"/>
      <c r="J552" s="65" t="n"/>
      <c r="K552" s="63" t="n"/>
      <c r="L552" s="15" t="n"/>
      <c r="M552" s="63" t="n"/>
      <c r="N552" s="16" t="n"/>
    </row>
    <row r="553" ht="29.25" customHeight="1">
      <c r="A553" s="59" t="n"/>
      <c r="B553" s="59" t="n"/>
      <c r="C553" s="60" t="n"/>
      <c r="D553" s="59" t="n"/>
      <c r="E553" s="59" t="n"/>
      <c r="F553" s="59" t="n"/>
      <c r="G553" s="59" t="n"/>
      <c r="H553" s="59" t="n"/>
      <c r="I553" s="59" t="n"/>
      <c r="J553" s="61" t="n"/>
      <c r="K553" s="59" t="n"/>
      <c r="L553" s="62" t="n"/>
      <c r="M553" s="59" t="n"/>
      <c r="N553" s="17" t="n"/>
    </row>
    <row r="554" ht="43.5" customHeight="1">
      <c r="A554" s="63" t="n"/>
      <c r="B554" s="63" t="n"/>
      <c r="C554" s="64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15" t="n"/>
      <c r="M554" s="63" t="n"/>
      <c r="N554" s="63" t="n"/>
    </row>
    <row r="555" ht="72.75" customHeight="1">
      <c r="A555" s="59" t="n"/>
      <c r="B555" s="59" t="n"/>
      <c r="C555" s="60" t="n"/>
      <c r="D555" s="59" t="n"/>
      <c r="E555" s="59" t="n"/>
      <c r="F555" s="59" t="n"/>
      <c r="G555" s="59" t="n"/>
      <c r="H555" s="59" t="n"/>
      <c r="I555" s="59" t="n"/>
      <c r="J555" s="61" t="n"/>
      <c r="K555" s="59" t="n"/>
      <c r="L555" s="62" t="n"/>
      <c r="M555" s="59" t="n"/>
      <c r="N555" s="17" t="n"/>
    </row>
    <row r="556" ht="144.75" customHeight="1">
      <c r="A556" s="63" t="n"/>
      <c r="B556" s="63" t="n"/>
      <c r="C556" s="64" t="n"/>
      <c r="D556" s="63" t="n"/>
      <c r="E556" s="63" t="n"/>
      <c r="F556" s="63" t="n"/>
      <c r="G556" s="63" t="n"/>
      <c r="H556" s="63" t="n"/>
      <c r="I556" s="63" t="n"/>
      <c r="J556" s="65" t="n"/>
      <c r="K556" s="63" t="n"/>
      <c r="L556" s="15" t="n"/>
      <c r="M556" s="63" t="n"/>
      <c r="N556" s="16" t="n"/>
    </row>
    <row r="557" ht="144.75" customHeight="1">
      <c r="A557" s="59" t="n"/>
      <c r="B557" s="59" t="n"/>
      <c r="C557" s="60" t="n"/>
      <c r="D557" s="59" t="n"/>
      <c r="E557" s="59" t="n"/>
      <c r="F557" s="59" t="n"/>
      <c r="G557" s="59" t="n"/>
      <c r="H557" s="59" t="n"/>
      <c r="I557" s="59" t="n"/>
      <c r="J557" s="61" t="n"/>
      <c r="K557" s="59" t="n"/>
      <c r="L557" s="62" t="n"/>
      <c r="M557" s="59" t="n"/>
      <c r="N557" s="17" t="n"/>
    </row>
    <row r="558" ht="29.25" customHeight="1">
      <c r="A558" s="63" t="n"/>
      <c r="B558" s="63" t="n"/>
      <c r="C558" s="64" t="n"/>
      <c r="D558" s="63" t="n"/>
      <c r="E558" s="63" t="n"/>
      <c r="F558" s="63" t="n"/>
      <c r="G558" s="63" t="n"/>
      <c r="H558" s="63" t="n"/>
      <c r="I558" s="63" t="n"/>
      <c r="J558" s="65" t="n"/>
      <c r="K558" s="63" t="n"/>
      <c r="L558" s="15" t="n"/>
      <c r="M558" s="63" t="n"/>
      <c r="N558" s="16" t="n"/>
    </row>
    <row r="559" ht="245.25" customHeight="1">
      <c r="A559" s="59" t="n"/>
      <c r="B559" s="59" t="n"/>
      <c r="C559" s="60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62" t="n"/>
      <c r="M559" s="59" t="n"/>
      <c r="N559" s="59" t="n"/>
    </row>
    <row r="560" ht="188.25" customHeight="1">
      <c r="A560" s="63" t="n"/>
      <c r="B560" s="63" t="n"/>
      <c r="C560" s="64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15" t="n"/>
      <c r="M560" s="63" t="n"/>
      <c r="N560" s="16" t="n"/>
    </row>
    <row r="561" ht="201.75" customHeight="1">
      <c r="A561" s="59" t="n"/>
      <c r="B561" s="59" t="n"/>
      <c r="C561" s="60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62" t="n"/>
      <c r="M561" s="59" t="n"/>
      <c r="N561" s="17" t="n"/>
    </row>
    <row r="562" ht="216.75" customHeight="1">
      <c r="A562" s="63" t="n"/>
      <c r="B562" s="63" t="n"/>
      <c r="C562" s="64" t="n"/>
      <c r="D562" s="63" t="n"/>
      <c r="E562" s="63" t="n"/>
      <c r="F562" s="63" t="n"/>
      <c r="G562" s="63" t="n"/>
      <c r="H562" s="63" t="n"/>
      <c r="I562" s="63" t="n"/>
      <c r="J562" s="65" t="n"/>
      <c r="K562" s="63" t="n"/>
      <c r="L562" s="15" t="n"/>
      <c r="M562" s="63" t="n"/>
      <c r="N562" s="16" t="n"/>
    </row>
    <row r="563" ht="57.75" customHeight="1">
      <c r="A563" s="59" t="n"/>
      <c r="B563" s="59" t="n"/>
      <c r="C563" s="60" t="n"/>
      <c r="D563" s="59" t="n"/>
      <c r="E563" s="59" t="n"/>
      <c r="F563" s="59" t="n"/>
      <c r="G563" s="59" t="n"/>
      <c r="H563" s="59" t="n"/>
      <c r="I563" s="59" t="n"/>
      <c r="J563" s="61" t="n"/>
      <c r="K563" s="59" t="n"/>
      <c r="L563" s="62" t="n"/>
      <c r="M563" s="59" t="n"/>
      <c r="N563" s="59" t="n"/>
    </row>
    <row r="564" ht="115.5" customHeight="1">
      <c r="A564" s="63" t="n"/>
      <c r="B564" s="63" t="n"/>
      <c r="C564" s="64" t="n"/>
      <c r="D564" s="63" t="n"/>
      <c r="E564" s="63" t="n"/>
      <c r="F564" s="63" t="n"/>
      <c r="G564" s="63" t="n"/>
      <c r="H564" s="63" t="n"/>
      <c r="I564" s="63" t="n"/>
      <c r="J564" s="65" t="n"/>
      <c r="K564" s="63" t="n"/>
      <c r="L564" s="15" t="n"/>
      <c r="M564" s="63" t="n"/>
      <c r="N564" s="63" t="n"/>
    </row>
    <row r="565" ht="115.5" customHeight="1">
      <c r="A565" s="59" t="n"/>
      <c r="B565" s="59" t="n"/>
      <c r="C565" s="60" t="n"/>
      <c r="D565" s="59" t="n"/>
      <c r="E565" s="59" t="n"/>
      <c r="F565" s="59" t="n"/>
      <c r="G565" s="59" t="n"/>
      <c r="H565" s="59" t="n"/>
      <c r="I565" s="59" t="n"/>
      <c r="J565" s="61" t="n"/>
      <c r="K565" s="59" t="n"/>
      <c r="L565" s="62" t="n"/>
      <c r="M565" s="59" t="n"/>
      <c r="N565" s="17" t="n"/>
    </row>
    <row r="566" ht="101.25" customHeight="1">
      <c r="A566" s="63" t="n"/>
      <c r="B566" s="63" t="n"/>
      <c r="C566" s="64" t="n"/>
      <c r="D566" s="63" t="n"/>
      <c r="E566" s="63" t="n"/>
      <c r="F566" s="63" t="n"/>
      <c r="G566" s="63" t="n"/>
      <c r="H566" s="63" t="n"/>
      <c r="I566" s="63" t="n"/>
      <c r="J566" s="65" t="n"/>
      <c r="K566" s="63" t="n"/>
      <c r="L566" s="15" t="n"/>
      <c r="M566" s="63" t="n"/>
      <c r="N566" s="16" t="n"/>
    </row>
    <row r="567" ht="101.25" customHeight="1">
      <c r="A567" s="59" t="n"/>
      <c r="B567" s="59" t="n"/>
      <c r="C567" s="60" t="n"/>
      <c r="D567" s="59" t="n"/>
      <c r="E567" s="59" t="n"/>
      <c r="F567" s="59" t="n"/>
      <c r="G567" s="59" t="n"/>
      <c r="H567" s="59" t="n"/>
      <c r="I567" s="59" t="n"/>
      <c r="J567" s="61" t="n"/>
      <c r="K567" s="59" t="n"/>
      <c r="L567" s="62" t="n"/>
      <c r="M567" s="59" t="n"/>
      <c r="N567" s="17" t="n"/>
    </row>
    <row r="568" ht="72.75" customHeight="1">
      <c r="A568" s="63" t="n"/>
      <c r="B568" s="63" t="n"/>
      <c r="C568" s="64" t="n"/>
      <c r="D568" s="63" t="n"/>
      <c r="E568" s="63" t="n"/>
      <c r="F568" s="63" t="n"/>
      <c r="G568" s="63" t="n"/>
      <c r="H568" s="63" t="n"/>
      <c r="I568" s="63" t="n"/>
      <c r="J568" s="65" t="n"/>
      <c r="K568" s="63" t="n"/>
      <c r="L568" s="15" t="n"/>
      <c r="M568" s="63" t="n"/>
      <c r="N568" s="16" t="n"/>
    </row>
    <row r="569">
      <c r="A569" s="59" t="n"/>
      <c r="B569" s="59" t="n"/>
      <c r="C569" s="60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62" t="n"/>
      <c r="M569" s="59" t="n"/>
      <c r="N569" s="17" t="n"/>
    </row>
    <row r="570" ht="87" customHeight="1">
      <c r="A570" s="63" t="n"/>
      <c r="B570" s="63" t="n"/>
      <c r="C570" s="64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15" t="n"/>
      <c r="M570" s="63" t="n"/>
      <c r="N570" s="16" t="n"/>
    </row>
    <row r="571" ht="188.25" customHeight="1">
      <c r="A571" s="59" t="n"/>
      <c r="B571" s="59" t="n"/>
      <c r="C571" s="60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62" t="n"/>
      <c r="M571" s="59" t="n"/>
      <c r="N571" s="17" t="n"/>
    </row>
    <row r="572" ht="29.25" customHeight="1">
      <c r="A572" s="63" t="n"/>
      <c r="B572" s="63" t="n"/>
      <c r="C572" s="64" t="n"/>
      <c r="D572" s="63" t="n"/>
      <c r="E572" s="63" t="n"/>
      <c r="F572" s="63" t="n"/>
      <c r="G572" s="63" t="n"/>
      <c r="H572" s="63" t="n"/>
      <c r="I572" s="63" t="n"/>
      <c r="J572" s="65" t="n"/>
      <c r="K572" s="63" t="n"/>
      <c r="L572" s="15" t="n"/>
      <c r="M572" s="63" t="n"/>
      <c r="N572" s="16" t="n"/>
    </row>
    <row r="573" ht="29.25" customHeight="1">
      <c r="A573" s="59" t="n"/>
      <c r="B573" s="59" t="n"/>
      <c r="C573" s="60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62" t="n"/>
      <c r="M573" s="59" t="n"/>
      <c r="N573" s="59" t="n"/>
    </row>
    <row r="574" ht="101.25" customHeight="1">
      <c r="A574" s="63" t="n"/>
      <c r="B574" s="63" t="n"/>
      <c r="C574" s="64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15" t="n"/>
      <c r="M574" s="63" t="n"/>
      <c r="N574" s="16" t="n"/>
    </row>
    <row r="575" ht="245.25" customHeight="1">
      <c r="A575" s="59" t="n"/>
      <c r="B575" s="59" t="n"/>
      <c r="C575" s="60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62" t="n"/>
      <c r="M575" s="59" t="n"/>
      <c r="N575" s="17" t="n"/>
    </row>
    <row r="576" ht="29.25" customHeight="1">
      <c r="A576" s="63" t="n"/>
      <c r="B576" s="63" t="n"/>
      <c r="C576" s="64" t="n"/>
      <c r="D576" s="63" t="n"/>
      <c r="E576" s="63" t="n"/>
      <c r="F576" s="63" t="n"/>
      <c r="G576" s="63" t="n"/>
      <c r="H576" s="63" t="n"/>
      <c r="I576" s="63" t="n"/>
      <c r="J576" s="65" t="n"/>
      <c r="K576" s="63" t="n"/>
      <c r="L576" s="15" t="n"/>
      <c r="M576" s="63" t="n"/>
      <c r="N576" s="16" t="n"/>
    </row>
    <row r="577" ht="87" customHeight="1">
      <c r="A577" s="59" t="n"/>
      <c r="B577" s="59" t="n"/>
      <c r="C577" s="60" t="n"/>
      <c r="D577" s="59" t="n"/>
      <c r="E577" s="59" t="n"/>
      <c r="F577" s="59" t="n"/>
      <c r="G577" s="59" t="n"/>
      <c r="H577" s="59" t="n"/>
      <c r="I577" s="59" t="n"/>
      <c r="J577" s="61" t="n"/>
      <c r="K577" s="59" t="n"/>
      <c r="L577" s="62" t="n"/>
      <c r="M577" s="59" t="n"/>
      <c r="N577" s="17" t="n"/>
    </row>
    <row r="578" ht="144.75" customHeight="1">
      <c r="A578" s="63" t="n"/>
      <c r="B578" s="63" t="n"/>
      <c r="C578" s="64" t="n"/>
      <c r="D578" s="63" t="n"/>
      <c r="E578" s="63" t="n"/>
      <c r="F578" s="63" t="n"/>
      <c r="G578" s="63" t="n"/>
      <c r="H578" s="63" t="n"/>
      <c r="I578" s="63" t="n"/>
      <c r="J578" s="65" t="n"/>
      <c r="K578" s="63" t="n"/>
      <c r="L578" s="15" t="n"/>
      <c r="M578" s="63" t="n"/>
      <c r="N578" s="16" t="n"/>
    </row>
    <row r="579" ht="57.75" customHeight="1">
      <c r="A579" s="59" t="n"/>
      <c r="B579" s="59" t="n"/>
      <c r="C579" s="60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62" t="n"/>
      <c r="M579" s="59" t="n"/>
      <c r="N579" s="17" t="n"/>
    </row>
    <row r="580" ht="245.25" customHeight="1">
      <c r="A580" s="63" t="n"/>
      <c r="B580" s="63" t="n"/>
      <c r="C580" s="64" t="n"/>
      <c r="D580" s="63" t="n"/>
      <c r="E580" s="63" t="n"/>
      <c r="F580" s="63" t="n"/>
      <c r="G580" s="63" t="n"/>
      <c r="H580" s="63" t="n"/>
      <c r="I580" s="63" t="n"/>
      <c r="J580" s="65" t="n"/>
      <c r="K580" s="63" t="n"/>
      <c r="L580" s="15" t="n"/>
      <c r="M580" s="63" t="n"/>
      <c r="N580" s="63" t="n"/>
    </row>
    <row r="581" ht="101.25" customHeight="1">
      <c r="A581" s="59" t="n"/>
      <c r="B581" s="59" t="n"/>
      <c r="C581" s="60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62" t="n"/>
      <c r="M581" s="59" t="n"/>
      <c r="N581" s="17" t="n"/>
    </row>
    <row r="582" ht="101.25" customHeight="1">
      <c r="A582" s="63" t="n"/>
      <c r="B582" s="63" t="n"/>
      <c r="C582" s="64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15" t="n"/>
      <c r="M582" s="63" t="n"/>
      <c r="N582" s="16" t="n"/>
    </row>
    <row r="583" ht="101.25" customHeight="1">
      <c r="A583" s="59" t="n"/>
      <c r="B583" s="59" t="n"/>
      <c r="C583" s="60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62" t="n"/>
      <c r="M583" s="59" t="n"/>
      <c r="N583" s="17" t="n"/>
    </row>
    <row r="584" ht="130.5" customHeight="1">
      <c r="A584" s="63" t="n"/>
      <c r="B584" s="63" t="n"/>
      <c r="C584" s="64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15" t="n"/>
      <c r="M584" s="63" t="n"/>
      <c r="N584" s="63" t="n"/>
    </row>
    <row r="585" ht="144.75" customHeight="1">
      <c r="A585" s="59" t="n"/>
      <c r="B585" s="59" t="n"/>
      <c r="C585" s="60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62" t="n"/>
      <c r="M585" s="59" t="n"/>
      <c r="N585" s="59" t="n"/>
    </row>
    <row r="586" ht="29.25" customHeight="1">
      <c r="A586" s="63" t="n"/>
      <c r="B586" s="63" t="n"/>
      <c r="C586" s="64" t="n"/>
      <c r="D586" s="63" t="n"/>
      <c r="E586" s="63" t="n"/>
      <c r="F586" s="63" t="n"/>
      <c r="G586" s="63" t="n"/>
      <c r="H586" s="63" t="n"/>
      <c r="I586" s="63" t="n"/>
      <c r="J586" s="65" t="n"/>
      <c r="K586" s="63" t="n"/>
      <c r="L586" s="15" t="n"/>
      <c r="M586" s="63" t="n"/>
      <c r="N586" s="63" t="n"/>
    </row>
    <row r="587" ht="216.75" customHeight="1">
      <c r="A587" s="59" t="n"/>
      <c r="B587" s="59" t="n"/>
      <c r="C587" s="60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62" t="n"/>
      <c r="M587" s="59" t="n"/>
      <c r="N587" s="17" t="n"/>
    </row>
    <row r="588" ht="216.75" customHeight="1">
      <c r="A588" s="63" t="n"/>
      <c r="B588" s="63" t="n"/>
      <c r="C588" s="64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15" t="n"/>
      <c r="M588" s="63" t="n"/>
      <c r="N588" s="63" t="n"/>
    </row>
    <row r="589" ht="159" customHeight="1">
      <c r="A589" s="59" t="n"/>
      <c r="B589" s="59" t="n"/>
      <c r="C589" s="60" t="n"/>
      <c r="D589" s="59" t="n"/>
      <c r="E589" s="59" t="n"/>
      <c r="F589" s="59" t="n"/>
      <c r="G589" s="59" t="n"/>
      <c r="H589" s="59" t="n"/>
      <c r="I589" s="59" t="n"/>
      <c r="J589" s="61" t="n"/>
      <c r="K589" s="59" t="n"/>
      <c r="L589" s="62" t="n"/>
      <c r="M589" s="59" t="n"/>
      <c r="N589" s="17" t="n"/>
    </row>
    <row r="590" ht="72.75" customHeight="1">
      <c r="A590" s="63" t="n"/>
      <c r="B590" s="63" t="n"/>
      <c r="C590" s="64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15" t="n"/>
      <c r="M590" s="63" t="n"/>
      <c r="N590" s="16" t="n"/>
    </row>
    <row r="591" ht="57.75" customHeight="1">
      <c r="A591" s="59" t="n"/>
      <c r="B591" s="59" t="n"/>
      <c r="C591" s="60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62" t="n"/>
      <c r="M591" s="59" t="n"/>
      <c r="N591" s="17" t="n"/>
    </row>
    <row r="592" ht="87" customHeight="1">
      <c r="A592" s="63" t="n"/>
      <c r="B592" s="63" t="n"/>
      <c r="C592" s="64" t="n"/>
      <c r="D592" s="63" t="n"/>
      <c r="E592" s="63" t="n"/>
      <c r="F592" s="63" t="n"/>
      <c r="G592" s="63" t="n"/>
      <c r="H592" s="63" t="n"/>
      <c r="I592" s="63" t="n"/>
      <c r="J592" s="65" t="n"/>
      <c r="K592" s="63" t="n"/>
      <c r="L592" s="15" t="n"/>
      <c r="M592" s="63" t="n"/>
      <c r="N592" s="63" t="n"/>
    </row>
    <row r="593" ht="57.75" customHeight="1">
      <c r="A593" s="59" t="n"/>
      <c r="B593" s="59" t="n"/>
      <c r="C593" s="60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62" t="n"/>
      <c r="M593" s="59" t="n"/>
      <c r="N593" s="17" t="n"/>
    </row>
    <row r="594" ht="115.5" customHeight="1">
      <c r="A594" s="63" t="n"/>
      <c r="B594" s="63" t="n"/>
      <c r="C594" s="64" t="n"/>
      <c r="D594" s="63" t="n"/>
      <c r="E594" s="63" t="n"/>
      <c r="F594" s="63" t="n"/>
      <c r="G594" s="63" t="n"/>
      <c r="H594" s="63" t="n"/>
      <c r="I594" s="63" t="n"/>
      <c r="J594" s="65" t="n"/>
      <c r="K594" s="63" t="n"/>
      <c r="L594" s="15" t="n"/>
      <c r="M594" s="63" t="n"/>
      <c r="N594" s="16" t="n"/>
    </row>
    <row r="595" ht="245.25" customHeight="1">
      <c r="A595" s="59" t="n"/>
      <c r="B595" s="59" t="n"/>
      <c r="C595" s="60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62" t="n"/>
      <c r="M595" s="59" t="n"/>
      <c r="N595" s="59" t="n"/>
    </row>
    <row r="596" ht="216.75" customHeight="1">
      <c r="A596" s="63" t="n"/>
      <c r="B596" s="63" t="n"/>
      <c r="C596" s="64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15" t="n"/>
      <c r="M596" s="63" t="n"/>
      <c r="N596" s="16" t="n"/>
    </row>
    <row r="597" ht="303.75" customHeight="1">
      <c r="A597" s="59" t="n"/>
      <c r="B597" s="59" t="n"/>
      <c r="C597" s="60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62" t="n"/>
      <c r="M597" s="59" t="n"/>
      <c r="N597" s="17" t="n"/>
    </row>
    <row r="598" ht="101.25" customHeight="1">
      <c r="A598" s="63" t="n"/>
      <c r="B598" s="63" t="n"/>
      <c r="C598" s="64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15" t="n"/>
      <c r="M598" s="63" t="n"/>
      <c r="N598" s="16" t="n"/>
    </row>
    <row r="599" ht="43.5" customHeight="1">
      <c r="A599" s="59" t="n"/>
      <c r="B599" s="59" t="n"/>
      <c r="C599" s="60" t="n"/>
      <c r="D599" s="59" t="n"/>
      <c r="E599" s="59" t="n"/>
      <c r="F599" s="59" t="n"/>
      <c r="G599" s="59" t="n"/>
      <c r="H599" s="59" t="n"/>
      <c r="I599" s="59" t="n"/>
      <c r="J599" s="61" t="n"/>
      <c r="K599" s="59" t="n"/>
      <c r="L599" s="62" t="n"/>
      <c r="M599" s="59" t="n"/>
      <c r="N599" s="59" t="n"/>
    </row>
    <row r="600" ht="57.75" customHeight="1">
      <c r="A600" s="63" t="n"/>
      <c r="B600" s="63" t="n"/>
      <c r="C600" s="64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15" t="n"/>
      <c r="M600" s="63" t="n"/>
      <c r="N600" s="63" t="n"/>
    </row>
    <row r="601" ht="188.25" customHeight="1">
      <c r="A601" s="59" t="n"/>
      <c r="B601" s="59" t="n"/>
      <c r="C601" s="60" t="n"/>
      <c r="D601" s="59" t="n"/>
      <c r="E601" s="59" t="n"/>
      <c r="F601" s="59" t="n"/>
      <c r="G601" s="59" t="n"/>
      <c r="H601" s="59" t="n"/>
      <c r="I601" s="59" t="n"/>
      <c r="J601" s="61" t="n"/>
      <c r="K601" s="59" t="n"/>
      <c r="L601" s="62" t="n"/>
      <c r="M601" s="59" t="n"/>
      <c r="N601" s="17" t="n"/>
    </row>
    <row r="602" ht="115.5" customHeight="1">
      <c r="A602" s="63" t="n"/>
      <c r="B602" s="63" t="n"/>
      <c r="C602" s="64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15" t="n"/>
      <c r="M602" s="63" t="n"/>
      <c r="N602" s="16" t="n"/>
    </row>
    <row r="603" ht="29.25" customHeight="1">
      <c r="A603" s="59" t="n"/>
      <c r="B603" s="59" t="n"/>
      <c r="C603" s="60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62" t="n"/>
      <c r="M603" s="59" t="n"/>
      <c r="N603" s="17" t="n"/>
    </row>
    <row r="604" ht="174" customHeight="1">
      <c r="A604" s="63" t="n"/>
      <c r="B604" s="63" t="n"/>
      <c r="C604" s="64" t="n"/>
      <c r="D604" s="63" t="n"/>
      <c r="E604" s="63" t="n"/>
      <c r="F604" s="63" t="n"/>
      <c r="G604" s="63" t="n"/>
      <c r="H604" s="63" t="n"/>
      <c r="I604" s="63" t="n"/>
      <c r="J604" s="65" t="n"/>
      <c r="K604" s="63" t="n"/>
      <c r="L604" s="15" t="n"/>
      <c r="M604" s="63" t="n"/>
      <c r="N604" s="63" t="n"/>
    </row>
    <row r="605" ht="87" customHeight="1">
      <c r="A605" s="59" t="n"/>
      <c r="B605" s="59" t="n"/>
      <c r="C605" s="60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62" t="n"/>
      <c r="M605" s="59" t="n"/>
      <c r="N605" s="17" t="n"/>
    </row>
    <row r="606" ht="57.75" customHeight="1">
      <c r="A606" s="63" t="n"/>
      <c r="B606" s="63" t="n"/>
      <c r="C606" s="64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15" t="n"/>
      <c r="M606" s="63" t="n"/>
      <c r="N606" s="16" t="n"/>
    </row>
    <row r="607" ht="159" customHeight="1">
      <c r="A607" s="59" t="n"/>
      <c r="B607" s="59" t="n"/>
      <c r="C607" s="60" t="n"/>
      <c r="D607" s="59" t="n"/>
      <c r="E607" s="59" t="n"/>
      <c r="F607" s="59" t="n"/>
      <c r="G607" s="59" t="n"/>
      <c r="H607" s="59" t="n"/>
      <c r="I607" s="59" t="n"/>
      <c r="J607" s="61" t="n"/>
      <c r="K607" s="59" t="n"/>
      <c r="L607" s="62" t="n"/>
      <c r="M607" s="59" t="n"/>
      <c r="N607" s="17" t="n"/>
    </row>
    <row r="608" ht="101.25" customHeight="1">
      <c r="A608" s="63" t="n"/>
      <c r="B608" s="63" t="n"/>
      <c r="C608" s="64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15" t="n"/>
      <c r="M608" s="63" t="n"/>
      <c r="N608" s="16" t="n"/>
    </row>
    <row r="609" ht="288.75" customHeight="1">
      <c r="A609" s="59" t="n"/>
      <c r="B609" s="59" t="n"/>
      <c r="C609" s="60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62" t="n"/>
      <c r="M609" s="59" t="n"/>
      <c r="N609" s="17" t="n"/>
    </row>
    <row r="610" ht="101.25" customHeight="1">
      <c r="A610" s="63" t="n"/>
      <c r="B610" s="63" t="n"/>
      <c r="C610" s="64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15" t="n"/>
      <c r="M610" s="63" t="n"/>
      <c r="N610" s="16" t="n"/>
    </row>
    <row r="611">
      <c r="A611" s="59" t="n"/>
      <c r="B611" s="59" t="n"/>
      <c r="C611" s="60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62" t="n"/>
      <c r="M611" s="59" t="n"/>
      <c r="N611" s="17" t="n"/>
    </row>
    <row r="612" ht="57.75" customHeight="1">
      <c r="A612" s="63" t="n"/>
      <c r="B612" s="63" t="n"/>
      <c r="C612" s="64" t="n"/>
      <c r="D612" s="63" t="n"/>
      <c r="E612" s="63" t="n"/>
      <c r="F612" s="63" t="n"/>
      <c r="G612" s="63" t="n"/>
      <c r="H612" s="63" t="n"/>
      <c r="I612" s="63" t="n"/>
      <c r="J612" s="65" t="n"/>
      <c r="K612" s="63" t="n"/>
      <c r="L612" s="15" t="n"/>
      <c r="M612" s="63" t="n"/>
      <c r="N612" s="16" t="n"/>
    </row>
    <row r="613" ht="72.75" customHeight="1">
      <c r="A613" s="59" t="n"/>
      <c r="B613" s="59" t="n"/>
      <c r="C613" s="60" t="n"/>
      <c r="D613" s="59" t="n"/>
      <c r="E613" s="59" t="n"/>
      <c r="F613" s="59" t="n"/>
      <c r="G613" s="59" t="n"/>
      <c r="H613" s="59" t="n"/>
      <c r="I613" s="59" t="n"/>
      <c r="J613" s="61" t="n"/>
      <c r="K613" s="59" t="n"/>
      <c r="L613" s="62" t="n"/>
      <c r="M613" s="59" t="n"/>
      <c r="N613" s="17" t="n"/>
    </row>
    <row r="614" ht="57.75" customHeight="1">
      <c r="A614" s="63" t="n"/>
      <c r="B614" s="63" t="n"/>
      <c r="C614" s="64" t="n"/>
      <c r="D614" s="63" t="n"/>
      <c r="E614" s="63" t="n"/>
      <c r="F614" s="63" t="n"/>
      <c r="G614" s="63" t="n"/>
      <c r="H614" s="63" t="n"/>
      <c r="I614" s="63" t="n"/>
      <c r="J614" s="65" t="n"/>
      <c r="K614" s="63" t="n"/>
      <c r="L614" s="15" t="n"/>
      <c r="M614" s="63" t="n"/>
      <c r="N614" s="16" t="n"/>
    </row>
    <row r="615" ht="43.5" customHeight="1">
      <c r="A615" s="59" t="n"/>
      <c r="B615" s="59" t="n"/>
      <c r="C615" s="60" t="n"/>
      <c r="D615" s="59" t="n"/>
      <c r="E615" s="59" t="n"/>
      <c r="F615" s="59" t="n"/>
      <c r="G615" s="59" t="n"/>
      <c r="H615" s="59" t="n"/>
      <c r="I615" s="59" t="n"/>
      <c r="J615" s="61" t="n"/>
      <c r="K615" s="59" t="n"/>
      <c r="L615" s="62" t="n"/>
      <c r="M615" s="59" t="n"/>
      <c r="N615" s="17" t="n"/>
    </row>
    <row r="616" ht="174" customHeight="1">
      <c r="A616" s="63" t="n"/>
      <c r="B616" s="63" t="n"/>
      <c r="C616" s="64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15" t="n"/>
      <c r="M616" s="63" t="n"/>
      <c r="N616" s="16" t="n"/>
    </row>
    <row r="617" ht="159" customHeight="1">
      <c r="A617" s="59" t="n"/>
      <c r="B617" s="59" t="n"/>
      <c r="C617" s="60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62" t="n"/>
      <c r="M617" s="59" t="n"/>
      <c r="N617" s="17" t="n"/>
    </row>
    <row r="618">
      <c r="A618" s="63" t="n"/>
      <c r="B618" s="63" t="n"/>
      <c r="C618" s="64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15" t="n"/>
      <c r="M618" s="63" t="n"/>
      <c r="N618" s="16" t="n"/>
    </row>
    <row r="619" ht="43.5" customHeight="1">
      <c r="A619" s="59" t="n"/>
      <c r="B619" s="59" t="n"/>
      <c r="C619" s="60" t="n"/>
      <c r="D619" s="59" t="n"/>
      <c r="E619" s="59" t="n"/>
      <c r="F619" s="59" t="n"/>
      <c r="G619" s="59" t="n"/>
      <c r="H619" s="59" t="n"/>
      <c r="I619" s="59" t="n"/>
      <c r="J619" s="61" t="n"/>
      <c r="K619" s="59" t="n"/>
      <c r="L619" s="62" t="n"/>
      <c r="M619" s="59" t="n"/>
      <c r="N619" s="17" t="n"/>
    </row>
    <row r="620" ht="43.5" customHeight="1">
      <c r="A620" s="69" t="n"/>
      <c r="B620" s="69" t="n"/>
      <c r="C620" s="70" t="n"/>
      <c r="D620" s="69" t="n"/>
      <c r="E620" s="69" t="n"/>
      <c r="F620" s="69" t="n"/>
      <c r="G620" s="69" t="n"/>
      <c r="H620" s="69" t="n"/>
      <c r="I620" s="69" t="n"/>
      <c r="J620" s="71" t="n"/>
      <c r="K620" s="69" t="n"/>
      <c r="L620" s="18" t="n"/>
      <c r="M620" s="69" t="n"/>
      <c r="N620" s="58" t="n"/>
    </row>
    <row r="621" ht="130.5" customHeight="1">
      <c r="A621" s="69" t="n"/>
      <c r="B621" s="69" t="n"/>
      <c r="C621" s="70" t="n"/>
      <c r="D621" s="69" t="n"/>
      <c r="E621" s="69" t="n"/>
      <c r="F621" s="69" t="n"/>
      <c r="G621" s="69" t="n"/>
      <c r="H621" s="69" t="n"/>
      <c r="I621" s="69" t="n"/>
      <c r="J621" s="73" t="n"/>
      <c r="K621" s="69" t="n"/>
      <c r="L621" s="18" t="n"/>
      <c r="M621" s="69" t="n"/>
      <c r="N621" s="58" t="n"/>
    </row>
    <row r="622" ht="72.75" customHeight="1">
      <c r="A622" s="69" t="n"/>
      <c r="B622" s="69" t="n"/>
      <c r="C622" s="70" t="n"/>
      <c r="D622" s="69" t="n"/>
      <c r="E622" s="69" t="n"/>
      <c r="F622" s="69" t="n"/>
      <c r="G622" s="69" t="n"/>
      <c r="H622" s="69" t="n"/>
      <c r="I622" s="69" t="n"/>
      <c r="J622" s="73" t="n"/>
      <c r="K622" s="69" t="n"/>
      <c r="L622" s="18" t="n"/>
      <c r="M622" s="69" t="n"/>
      <c r="N622" s="58" t="n"/>
    </row>
    <row r="623" ht="72.75" customHeight="1">
      <c r="A623" s="69" t="n"/>
      <c r="B623" s="69" t="n"/>
      <c r="C623" s="70" t="n"/>
      <c r="D623" s="69" t="n"/>
      <c r="E623" s="69" t="n"/>
      <c r="F623" s="69" t="n"/>
      <c r="G623" s="69" t="n"/>
      <c r="H623" s="69" t="n"/>
      <c r="I623" s="69" t="n"/>
      <c r="J623" s="74" t="n"/>
      <c r="K623" s="69" t="n"/>
      <c r="L623" s="18" t="n"/>
      <c r="M623" s="69" t="n"/>
      <c r="N623" s="58" t="n"/>
    </row>
    <row r="624" ht="101.25" customHeight="1">
      <c r="A624" s="69" t="n"/>
      <c r="B624" s="69" t="n"/>
      <c r="C624" s="70" t="n"/>
      <c r="D624" s="69" t="n"/>
      <c r="E624" s="69" t="n"/>
      <c r="F624" s="69" t="n"/>
      <c r="G624" s="69" t="n"/>
      <c r="H624" s="69" t="n"/>
      <c r="I624" s="69" t="n"/>
      <c r="J624" s="74" t="n"/>
      <c r="K624" s="69" t="n"/>
      <c r="L624" s="18" t="n"/>
      <c r="M624" s="69" t="n"/>
      <c r="N624" s="58" t="n"/>
    </row>
    <row r="625" ht="130.5" customHeight="1">
      <c r="A625" s="69" t="n"/>
      <c r="B625" s="69" t="n"/>
      <c r="C625" s="70" t="n"/>
      <c r="D625" s="69" t="n"/>
      <c r="E625" s="69" t="n"/>
      <c r="F625" s="69" t="n"/>
      <c r="G625" s="69" t="n"/>
      <c r="H625" s="69" t="n"/>
      <c r="I625" s="69" t="n"/>
      <c r="J625" s="74" t="n"/>
      <c r="K625" s="69" t="n"/>
      <c r="L625" s="18" t="n"/>
      <c r="M625" s="69" t="n"/>
      <c r="N625" s="58" t="n"/>
    </row>
    <row r="626" ht="115.5" customHeight="1">
      <c r="A626" s="69" t="n"/>
      <c r="B626" s="69" t="n"/>
      <c r="C626" s="70" t="n"/>
      <c r="D626" s="69" t="n"/>
      <c r="E626" s="69" t="n"/>
      <c r="F626" s="69" t="n"/>
      <c r="G626" s="69" t="n"/>
      <c r="H626" s="69" t="n"/>
      <c r="I626" s="69" t="n"/>
      <c r="J626" s="74" t="n"/>
      <c r="K626" s="69" t="n"/>
      <c r="L626" s="18" t="n"/>
      <c r="M626" s="69" t="n"/>
      <c r="N626" s="58" t="n"/>
    </row>
    <row r="627">
      <c r="A627" s="69" t="n"/>
      <c r="B627" s="69" t="n"/>
      <c r="C627" s="70" t="n"/>
      <c r="D627" s="69" t="n"/>
      <c r="E627" s="69" t="n"/>
      <c r="F627" s="69" t="n"/>
      <c r="G627" s="69" t="n"/>
      <c r="H627" s="69" t="n"/>
      <c r="I627" s="69" t="n"/>
      <c r="J627" s="74" t="n"/>
      <c r="K627" s="69" t="n"/>
      <c r="L627" s="18" t="n"/>
      <c r="M627" s="69" t="n"/>
      <c r="N627" s="58" t="n"/>
    </row>
    <row r="628" ht="29.25" customHeight="1">
      <c r="A628" s="69" t="n"/>
      <c r="B628" s="69" t="n"/>
      <c r="C628" s="70" t="n"/>
      <c r="D628" s="69" t="n"/>
      <c r="E628" s="69" t="n"/>
      <c r="F628" s="69" t="n"/>
      <c r="G628" s="69" t="n"/>
      <c r="H628" s="69" t="n"/>
      <c r="I628" s="69" t="n"/>
      <c r="J628" s="74" t="n"/>
      <c r="K628" s="69" t="n"/>
      <c r="L628" s="18" t="n"/>
      <c r="M628" s="69" t="n"/>
      <c r="N628" s="58" t="n"/>
    </row>
    <row r="629" ht="174" customHeight="1">
      <c r="A629" s="69" t="n"/>
      <c r="B629" s="69" t="n"/>
      <c r="C629" s="70" t="n"/>
      <c r="D629" s="69" t="n"/>
      <c r="E629" s="69" t="n"/>
      <c r="F629" s="69" t="n"/>
      <c r="G629" s="69" t="n"/>
      <c r="H629" s="69" t="n"/>
      <c r="I629" s="69" t="n"/>
      <c r="J629" s="74" t="n"/>
      <c r="K629" s="69" t="n"/>
      <c r="L629" s="18" t="n"/>
      <c r="M629" s="69" t="n"/>
      <c r="N629" s="58" t="n"/>
    </row>
    <row r="630" ht="87" customHeight="1">
      <c r="A630" s="69" t="n"/>
      <c r="B630" s="69" t="n"/>
      <c r="C630" s="70" t="n"/>
      <c r="D630" s="69" t="n"/>
      <c r="E630" s="69" t="n"/>
      <c r="F630" s="69" t="n"/>
      <c r="G630" s="69" t="n"/>
      <c r="H630" s="69" t="n"/>
      <c r="I630" s="69" t="n"/>
      <c r="J630" s="74" t="n"/>
      <c r="K630" s="69" t="n"/>
      <c r="L630" s="18" t="n"/>
      <c r="M630" s="69" t="n"/>
      <c r="N630" s="58" t="n"/>
    </row>
    <row r="631" ht="303.75" customHeight="1">
      <c r="A631" s="69" t="n"/>
      <c r="B631" s="69" t="n"/>
      <c r="C631" s="70" t="n"/>
      <c r="D631" s="69" t="n"/>
      <c r="E631" s="69" t="n"/>
      <c r="F631" s="69" t="n"/>
      <c r="G631" s="69" t="n"/>
      <c r="H631" s="69" t="n"/>
      <c r="I631" s="69" t="n"/>
      <c r="J631" s="74" t="n"/>
      <c r="K631" s="69" t="n"/>
      <c r="L631" s="18" t="n"/>
      <c r="M631" s="69" t="n"/>
      <c r="N631" s="58" t="n"/>
    </row>
    <row r="632" ht="188.25" customHeight="1">
      <c r="A632" s="69" t="n"/>
      <c r="B632" s="69" t="n"/>
      <c r="C632" s="70" t="n"/>
      <c r="D632" s="69" t="n"/>
      <c r="E632" s="69" t="n"/>
      <c r="F632" s="69" t="n"/>
      <c r="G632" s="69" t="n"/>
      <c r="H632" s="69" t="n"/>
      <c r="I632" s="69" t="n"/>
      <c r="J632" s="74" t="n"/>
      <c r="K632" s="69" t="n"/>
      <c r="L632" s="18" t="n"/>
      <c r="M632" s="69" t="n"/>
      <c r="N632" s="58" t="n"/>
    </row>
    <row r="633" ht="87" customHeight="1">
      <c r="A633" s="69" t="n"/>
      <c r="B633" s="69" t="n"/>
      <c r="C633" s="70" t="n"/>
      <c r="D633" s="69" t="n"/>
      <c r="E633" s="69" t="n"/>
      <c r="F633" s="69" t="n"/>
      <c r="G633" s="69" t="n"/>
      <c r="H633" s="69" t="n"/>
      <c r="I633" s="69" t="n"/>
      <c r="J633" s="74" t="n"/>
      <c r="K633" s="69" t="n"/>
      <c r="L633" s="18" t="n"/>
      <c r="M633" s="69" t="n"/>
      <c r="N633" s="58" t="n"/>
    </row>
    <row r="634" ht="72.75" customHeight="1">
      <c r="A634" s="69" t="n"/>
      <c r="B634" s="69" t="n"/>
      <c r="C634" s="70" t="n"/>
      <c r="D634" s="69" t="n"/>
      <c r="E634" s="69" t="n"/>
      <c r="F634" s="69" t="n"/>
      <c r="G634" s="69" t="n"/>
      <c r="H634" s="69" t="n"/>
      <c r="I634" s="69" t="n"/>
      <c r="J634" s="74" t="n"/>
      <c r="K634" s="69" t="n"/>
      <c r="L634" s="18" t="n"/>
      <c r="M634" s="69" t="n"/>
      <c r="N634" s="58" t="n"/>
    </row>
    <row r="635" ht="87" customHeight="1">
      <c r="A635" s="69" t="n"/>
      <c r="B635" s="69" t="n"/>
      <c r="C635" s="70" t="n"/>
      <c r="D635" s="69" t="n"/>
      <c r="E635" s="69" t="n"/>
      <c r="F635" s="69" t="n"/>
      <c r="G635" s="69" t="n"/>
      <c r="H635" s="69" t="n"/>
      <c r="I635" s="69" t="n"/>
      <c r="J635" s="74" t="n"/>
      <c r="K635" s="69" t="n"/>
      <c r="L635" s="18" t="n"/>
      <c r="M635" s="69" t="n"/>
      <c r="N635" s="58" t="n"/>
    </row>
    <row r="636" ht="87" customHeight="1">
      <c r="A636" s="69" t="n"/>
      <c r="B636" s="69" t="n"/>
      <c r="C636" s="70" t="n"/>
      <c r="D636" s="69" t="n"/>
      <c r="E636" s="69" t="n"/>
      <c r="F636" s="69" t="n"/>
      <c r="G636" s="69" t="n"/>
      <c r="H636" s="69" t="n"/>
      <c r="I636" s="69" t="n"/>
      <c r="J636" s="74" t="n"/>
      <c r="K636" s="69" t="n"/>
      <c r="L636" s="18" t="n"/>
      <c r="M636" s="69" t="n"/>
      <c r="N636" s="58" t="n"/>
    </row>
    <row r="637" ht="87" customHeight="1">
      <c r="A637" s="69" t="n"/>
      <c r="B637" s="69" t="n"/>
      <c r="C637" s="70" t="n"/>
      <c r="D637" s="69" t="n"/>
      <c r="E637" s="69" t="n"/>
      <c r="F637" s="69" t="n"/>
      <c r="G637" s="69" t="n"/>
      <c r="H637" s="69" t="n"/>
      <c r="I637" s="69" t="n"/>
      <c r="J637" s="74" t="n"/>
      <c r="K637" s="69" t="n"/>
      <c r="L637" s="18" t="n"/>
      <c r="M637" s="69" t="n"/>
      <c r="N637" s="58" t="n"/>
    </row>
    <row r="638" ht="87" customHeight="1">
      <c r="A638" s="69" t="n"/>
      <c r="B638" s="69" t="n"/>
      <c r="C638" s="70" t="n"/>
      <c r="D638" s="69" t="n"/>
      <c r="E638" s="69" t="n"/>
      <c r="F638" s="69" t="n"/>
      <c r="G638" s="69" t="n"/>
      <c r="H638" s="69" t="n"/>
      <c r="I638" s="69" t="n"/>
      <c r="J638" s="74" t="n"/>
      <c r="K638" s="69" t="n"/>
      <c r="L638" s="18" t="n"/>
      <c r="M638" s="69" t="n"/>
      <c r="N638" s="58" t="n"/>
    </row>
    <row r="639" ht="159" customHeight="1">
      <c r="A639" s="69" t="n"/>
      <c r="B639" s="69" t="n"/>
      <c r="C639" s="70" t="n"/>
      <c r="D639" s="69" t="n"/>
      <c r="E639" s="69" t="n"/>
      <c r="F639" s="69" t="n"/>
      <c r="G639" s="69" t="n"/>
      <c r="H639" s="69" t="n"/>
      <c r="I639" s="69" t="n"/>
      <c r="J639" s="74" t="n"/>
      <c r="K639" s="69" t="n"/>
      <c r="L639" s="18" t="n"/>
      <c r="M639" s="69" t="n"/>
      <c r="N639" s="58" t="n"/>
    </row>
    <row r="640" ht="159" customHeight="1">
      <c r="A640" s="69" t="n"/>
      <c r="B640" s="69" t="n"/>
      <c r="C640" s="70" t="n"/>
      <c r="D640" s="69" t="n"/>
      <c r="E640" s="69" t="n"/>
      <c r="F640" s="69" t="n"/>
      <c r="G640" s="69" t="n"/>
      <c r="H640" s="69" t="n"/>
      <c r="I640" s="69" t="n"/>
      <c r="J640" s="74" t="n"/>
      <c r="K640" s="69" t="n"/>
      <c r="L640" s="18" t="n"/>
      <c r="M640" s="69" t="n"/>
      <c r="N640" s="58" t="n"/>
    </row>
    <row r="641" ht="115.5" customHeight="1">
      <c r="A641" s="69" t="n"/>
      <c r="B641" s="69" t="n"/>
      <c r="C641" s="70" t="n"/>
      <c r="D641" s="69" t="n"/>
      <c r="E641" s="69" t="n"/>
      <c r="F641" s="69" t="n"/>
      <c r="G641" s="69" t="n"/>
      <c r="H641" s="69" t="n"/>
      <c r="I641" s="69" t="n"/>
      <c r="J641" s="74" t="n"/>
      <c r="K641" s="69" t="n"/>
      <c r="L641" s="18" t="n"/>
      <c r="M641" s="69" t="n"/>
      <c r="N641" s="58" t="n"/>
    </row>
    <row r="642" ht="101.25" customHeight="1">
      <c r="A642" s="69" t="n"/>
      <c r="B642" s="69" t="n"/>
      <c r="C642" s="70" t="n"/>
      <c r="D642" s="69" t="n"/>
      <c r="E642" s="69" t="n"/>
      <c r="F642" s="69" t="n"/>
      <c r="G642" s="69" t="n"/>
      <c r="H642" s="69" t="n"/>
      <c r="I642" s="69" t="n"/>
      <c r="J642" s="74" t="n"/>
      <c r="K642" s="69" t="n"/>
      <c r="L642" s="18" t="n"/>
      <c r="M642" s="69" t="n"/>
      <c r="N642" s="58" t="n"/>
    </row>
    <row r="643" ht="115.5" customHeight="1">
      <c r="A643" s="69" t="n"/>
      <c r="B643" s="69" t="n"/>
      <c r="C643" s="70" t="n"/>
      <c r="D643" s="69" t="n"/>
      <c r="E643" s="69" t="n"/>
      <c r="F643" s="69" t="n"/>
      <c r="G643" s="69" t="n"/>
      <c r="H643" s="69" t="n"/>
      <c r="I643" s="69" t="n"/>
      <c r="J643" s="74" t="n"/>
      <c r="K643" s="69" t="n"/>
      <c r="L643" s="18" t="n"/>
      <c r="M643" s="69" t="n"/>
      <c r="N643" s="58" t="n"/>
    </row>
    <row r="644" ht="29.25" customHeight="1">
      <c r="A644" s="69" t="n"/>
      <c r="B644" s="69" t="n"/>
      <c r="C644" s="70" t="n"/>
      <c r="D644" s="69" t="n"/>
      <c r="E644" s="69" t="n"/>
      <c r="F644" s="69" t="n"/>
      <c r="G644" s="69" t="n"/>
      <c r="H644" s="69" t="n"/>
      <c r="I644" s="69" t="n"/>
      <c r="J644" s="74" t="n"/>
      <c r="K644" s="69" t="n"/>
      <c r="L644" s="18" t="n"/>
      <c r="M644" s="69" t="n"/>
      <c r="N644" s="58" t="n"/>
    </row>
    <row r="645" ht="57.75" customHeight="1">
      <c r="A645" s="69" t="n"/>
      <c r="B645" s="69" t="n"/>
      <c r="C645" s="70" t="n"/>
      <c r="D645" s="69" t="n"/>
      <c r="E645" s="69" t="n"/>
      <c r="F645" s="69" t="n"/>
      <c r="G645" s="69" t="n"/>
      <c r="H645" s="69" t="n"/>
      <c r="I645" s="69" t="n"/>
      <c r="J645" s="74" t="n"/>
      <c r="K645" s="69" t="n"/>
      <c r="L645" s="18" t="n"/>
      <c r="M645" s="69" t="n"/>
      <c r="N645" s="58" t="n"/>
    </row>
    <row r="646" ht="43.5" customHeight="1">
      <c r="A646" s="69" t="n"/>
      <c r="B646" s="69" t="n"/>
      <c r="C646" s="70" t="n"/>
      <c r="D646" s="69" t="n"/>
      <c r="E646" s="69" t="n"/>
      <c r="F646" s="69" t="n"/>
      <c r="G646" s="69" t="n"/>
      <c r="H646" s="69" t="n"/>
      <c r="I646" s="69" t="n"/>
      <c r="J646" s="74" t="n"/>
      <c r="K646" s="69" t="n"/>
      <c r="L646" s="18" t="n"/>
      <c r="M646" s="69" t="n"/>
      <c r="N646" s="58" t="n"/>
    </row>
    <row r="647" ht="115.5" customHeight="1">
      <c r="A647" s="69" t="n"/>
      <c r="B647" s="69" t="n"/>
      <c r="C647" s="70" t="n"/>
      <c r="D647" s="69" t="n"/>
      <c r="E647" s="69" t="n"/>
      <c r="F647" s="69" t="n"/>
      <c r="G647" s="69" t="n"/>
      <c r="H647" s="69" t="n"/>
      <c r="I647" s="69" t="n"/>
      <c r="J647" s="74" t="n"/>
      <c r="K647" s="69" t="n"/>
      <c r="L647" s="18" t="n"/>
      <c r="M647" s="69" t="n"/>
      <c r="N647" s="58" t="n"/>
    </row>
    <row r="648" ht="72.75" customHeight="1">
      <c r="A648" s="69" t="n"/>
      <c r="B648" s="69" t="n"/>
      <c r="C648" s="70" t="n"/>
      <c r="D648" s="69" t="n"/>
      <c r="E648" s="69" t="n"/>
      <c r="F648" s="69" t="n"/>
      <c r="G648" s="69" t="n"/>
      <c r="H648" s="69" t="n"/>
      <c r="I648" s="69" t="n"/>
      <c r="J648" s="74" t="n"/>
      <c r="K648" s="69" t="n"/>
      <c r="L648" s="18" t="n"/>
      <c r="M648" s="69" t="n"/>
      <c r="N648" s="58" t="n"/>
    </row>
    <row r="649" ht="115.5" customHeight="1">
      <c r="A649" s="69" t="n"/>
      <c r="B649" s="69" t="n"/>
      <c r="C649" s="70" t="n"/>
      <c r="D649" s="69" t="n"/>
      <c r="E649" s="69" t="n"/>
      <c r="F649" s="69" t="n"/>
      <c r="G649" s="69" t="n"/>
      <c r="H649" s="69" t="n"/>
      <c r="I649" s="69" t="n"/>
      <c r="J649" s="74" t="n"/>
      <c r="K649" s="69" t="n"/>
      <c r="L649" s="18" t="n"/>
      <c r="M649" s="69" t="n"/>
      <c r="N649" s="58" t="n"/>
    </row>
    <row r="650" ht="115.5" customHeight="1">
      <c r="A650" s="69" t="n"/>
      <c r="B650" s="69" t="n"/>
      <c r="C650" s="70" t="n"/>
      <c r="D650" s="69" t="n"/>
      <c r="E650" s="69" t="n"/>
      <c r="F650" s="69" t="n"/>
      <c r="G650" s="69" t="n"/>
      <c r="H650" s="69" t="n"/>
      <c r="I650" s="69" t="n"/>
      <c r="J650" s="74" t="n"/>
      <c r="K650" s="69" t="n"/>
      <c r="L650" s="18" t="n"/>
      <c r="M650" s="69" t="n"/>
      <c r="N650" s="58" t="n"/>
    </row>
    <row r="651" ht="57.75" customHeight="1">
      <c r="A651" s="69" t="n"/>
      <c r="B651" s="69" t="n"/>
      <c r="C651" s="70" t="n"/>
      <c r="D651" s="69" t="n"/>
      <c r="E651" s="69" t="n"/>
      <c r="F651" s="69" t="n"/>
      <c r="G651" s="69" t="n"/>
      <c r="H651" s="69" t="n"/>
      <c r="I651" s="69" t="n"/>
      <c r="J651" s="74" t="n"/>
      <c r="K651" s="69" t="n"/>
      <c r="L651" s="18" t="n"/>
      <c r="M651" s="69" t="n"/>
      <c r="N651" s="58" t="n"/>
    </row>
    <row r="652" ht="409.6" customHeight="1">
      <c r="A652" s="69" t="n"/>
      <c r="B652" s="69" t="n"/>
      <c r="C652" s="70" t="n"/>
      <c r="D652" s="69" t="n"/>
      <c r="E652" s="69" t="n"/>
      <c r="F652" s="69" t="n"/>
      <c r="G652" s="69" t="n"/>
      <c r="H652" s="69" t="n"/>
      <c r="I652" s="69" t="n"/>
      <c r="J652" s="74" t="n"/>
      <c r="K652" s="69" t="n"/>
      <c r="L652" s="18" t="n"/>
      <c r="M652" s="69" t="n"/>
      <c r="N652" s="58" t="n"/>
    </row>
    <row r="653">
      <c r="A653" s="69" t="n"/>
      <c r="B653" s="69" t="n"/>
      <c r="C653" s="70" t="n"/>
      <c r="D653" s="69" t="n"/>
      <c r="E653" s="69" t="n"/>
      <c r="F653" s="69" t="n"/>
      <c r="G653" s="69" t="n"/>
      <c r="H653" s="69" t="n"/>
      <c r="I653" s="69" t="n"/>
      <c r="J653" s="74" t="n"/>
      <c r="K653" s="69" t="n"/>
      <c r="L653" s="18" t="n"/>
      <c r="M653" s="69" t="n"/>
      <c r="N653" s="58" t="n"/>
    </row>
    <row r="654" ht="72.75" customHeight="1">
      <c r="A654" s="69" t="n"/>
      <c r="B654" s="69" t="n"/>
      <c r="C654" s="70" t="n"/>
      <c r="D654" s="69" t="n"/>
      <c r="E654" s="69" t="n"/>
      <c r="F654" s="69" t="n"/>
      <c r="G654" s="69" t="n"/>
      <c r="H654" s="69" t="n"/>
      <c r="I654" s="69" t="n"/>
      <c r="J654" s="74" t="n"/>
      <c r="K654" s="69" t="n"/>
      <c r="L654" s="18" t="n"/>
      <c r="M654" s="69" t="n"/>
      <c r="N654" s="58" t="n"/>
    </row>
    <row r="655" ht="72.75" customHeight="1">
      <c r="A655" s="69" t="n"/>
      <c r="B655" s="69" t="n"/>
      <c r="C655" s="70" t="n"/>
      <c r="D655" s="69" t="n"/>
      <c r="E655" s="69" t="n"/>
      <c r="F655" s="69" t="n"/>
      <c r="G655" s="69" t="n"/>
      <c r="H655" s="69" t="n"/>
      <c r="I655" s="69" t="n"/>
      <c r="J655" s="74" t="n"/>
      <c r="K655" s="69" t="n"/>
      <c r="L655" s="18" t="n"/>
      <c r="M655" s="69" t="n"/>
      <c r="N655" s="58" t="n"/>
    </row>
    <row r="656" ht="72.75" customHeight="1">
      <c r="A656" s="69" t="n"/>
      <c r="B656" s="69" t="n"/>
      <c r="C656" s="70" t="n"/>
      <c r="D656" s="69" t="n"/>
      <c r="E656" s="69" t="n"/>
      <c r="F656" s="69" t="n"/>
      <c r="G656" s="69" t="n"/>
      <c r="H656" s="69" t="n"/>
      <c r="I656" s="69" t="n"/>
      <c r="J656" s="74" t="n"/>
      <c r="K656" s="69" t="n"/>
      <c r="L656" s="18" t="n"/>
      <c r="M656" s="69" t="n"/>
      <c r="N656" s="58" t="n"/>
    </row>
    <row r="657" ht="72.75" customHeight="1">
      <c r="A657" s="69" t="n"/>
      <c r="B657" s="69" t="n"/>
      <c r="C657" s="70" t="n"/>
      <c r="D657" s="69" t="n"/>
      <c r="E657" s="69" t="n"/>
      <c r="F657" s="69" t="n"/>
      <c r="G657" s="69" t="n"/>
      <c r="H657" s="69" t="n"/>
      <c r="I657" s="69" t="n"/>
      <c r="J657" s="74" t="n"/>
      <c r="K657" s="69" t="n"/>
      <c r="L657" s="18" t="n"/>
      <c r="M657" s="69" t="n"/>
      <c r="N657" s="58" t="n"/>
    </row>
    <row r="658" ht="72.75" customHeight="1">
      <c r="A658" s="69" t="n"/>
      <c r="B658" s="69" t="n"/>
      <c r="C658" s="70" t="n"/>
      <c r="D658" s="69" t="n"/>
      <c r="E658" s="69" t="n"/>
      <c r="F658" s="69" t="n"/>
      <c r="G658" s="69" t="n"/>
      <c r="H658" s="69" t="n"/>
      <c r="I658" s="69" t="n"/>
      <c r="J658" s="74" t="n"/>
      <c r="K658" s="69" t="n"/>
      <c r="L658" s="18" t="n"/>
      <c r="M658" s="69" t="n"/>
      <c r="N658" s="58" t="n"/>
    </row>
    <row r="659" ht="72.75" customHeight="1">
      <c r="A659" s="69" t="n"/>
      <c r="B659" s="69" t="n"/>
      <c r="C659" s="70" t="n"/>
      <c r="D659" s="69" t="n"/>
      <c r="E659" s="69" t="n"/>
      <c r="F659" s="69" t="n"/>
      <c r="G659" s="69" t="n"/>
      <c r="H659" s="69" t="n"/>
      <c r="I659" s="69" t="n"/>
      <c r="J659" s="74" t="n"/>
      <c r="K659" s="69" t="n"/>
      <c r="L659" s="18" t="n"/>
      <c r="M659" s="69" t="n"/>
      <c r="N659" s="58" t="n"/>
    </row>
    <row r="660" ht="72.75" customHeight="1">
      <c r="A660" s="69" t="n"/>
      <c r="B660" s="69" t="n"/>
      <c r="C660" s="70" t="n"/>
      <c r="D660" s="69" t="n"/>
      <c r="E660" s="69" t="n"/>
      <c r="F660" s="69" t="n"/>
      <c r="G660" s="69" t="n"/>
      <c r="H660" s="69" t="n"/>
      <c r="I660" s="69" t="n"/>
      <c r="J660" s="74" t="n"/>
      <c r="K660" s="69" t="n"/>
      <c r="L660" s="18" t="n"/>
      <c r="M660" s="69" t="n"/>
      <c r="N660" s="58" t="n"/>
    </row>
    <row r="661" ht="72.75" customHeight="1">
      <c r="A661" s="69" t="n"/>
      <c r="B661" s="69" t="n"/>
      <c r="C661" s="70" t="n"/>
      <c r="D661" s="69" t="n"/>
      <c r="E661" s="69" t="n"/>
      <c r="F661" s="69" t="n"/>
      <c r="G661" s="69" t="n"/>
      <c r="H661" s="69" t="n"/>
      <c r="I661" s="69" t="n"/>
      <c r="J661" s="74" t="n"/>
      <c r="K661" s="69" t="n"/>
      <c r="L661" s="18" t="n"/>
      <c r="M661" s="69" t="n"/>
      <c r="N661" s="58" t="n"/>
    </row>
    <row r="662" ht="57.75" customHeight="1">
      <c r="A662" s="69" t="n"/>
      <c r="B662" s="69" t="n"/>
      <c r="C662" s="70" t="n"/>
      <c r="D662" s="69" t="n"/>
      <c r="E662" s="69" t="n"/>
      <c r="F662" s="69" t="n"/>
      <c r="G662" s="69" t="n"/>
      <c r="H662" s="69" t="n"/>
      <c r="I662" s="69" t="n"/>
      <c r="J662" s="74" t="n"/>
      <c r="K662" s="69" t="n"/>
      <c r="L662" s="18" t="n"/>
      <c r="M662" s="69" t="n"/>
      <c r="N662" s="58" t="n"/>
    </row>
    <row r="663" ht="115.5" customHeight="1">
      <c r="A663" s="69" t="n"/>
      <c r="B663" s="69" t="n"/>
      <c r="C663" s="70" t="n"/>
      <c r="D663" s="69" t="n"/>
      <c r="E663" s="69" t="n"/>
      <c r="F663" s="69" t="n"/>
      <c r="G663" s="69" t="n"/>
      <c r="H663" s="69" t="n"/>
      <c r="I663" s="69" t="n"/>
      <c r="J663" s="74" t="n"/>
      <c r="K663" s="69" t="n"/>
      <c r="L663" s="18" t="n"/>
      <c r="M663" s="69" t="n"/>
      <c r="N663" s="58" t="n"/>
    </row>
    <row r="664">
      <c r="A664" s="69" t="n"/>
      <c r="B664" s="69" t="n"/>
      <c r="C664" s="70" t="n"/>
      <c r="D664" s="69" t="n"/>
      <c r="E664" s="69" t="n"/>
      <c r="F664" s="69" t="n"/>
      <c r="G664" s="69" t="n"/>
      <c r="H664" s="69" t="n"/>
      <c r="I664" s="69" t="n"/>
      <c r="J664" s="74" t="n"/>
      <c r="K664" s="69" t="n"/>
      <c r="L664" s="18" t="n"/>
      <c r="M664" s="69" t="n"/>
      <c r="N664" s="58" t="n"/>
    </row>
    <row r="665" ht="57.75" customHeight="1">
      <c r="A665" s="69" t="n"/>
      <c r="B665" s="69" t="n"/>
      <c r="C665" s="70" t="n"/>
      <c r="D665" s="69" t="n"/>
      <c r="E665" s="69" t="n"/>
      <c r="F665" s="69" t="n"/>
      <c r="G665" s="69" t="n"/>
      <c r="H665" s="69" t="n"/>
      <c r="I665" s="69" t="n"/>
      <c r="J665" s="74" t="n"/>
      <c r="K665" s="69" t="n"/>
      <c r="L665" s="18" t="n"/>
      <c r="M665" s="69" t="n"/>
      <c r="N665" s="58" t="n"/>
    </row>
    <row r="666" ht="174" customHeight="1">
      <c r="A666" s="69" t="n"/>
      <c r="B666" s="69" t="n"/>
      <c r="C666" s="70" t="n"/>
      <c r="D666" s="69" t="n"/>
      <c r="E666" s="69" t="n"/>
      <c r="F666" s="69" t="n"/>
      <c r="G666" s="69" t="n"/>
      <c r="H666" s="69" t="n"/>
      <c r="I666" s="69" t="n"/>
      <c r="J666" s="74" t="n"/>
      <c r="K666" s="69" t="n"/>
      <c r="L666" s="18" t="n"/>
      <c r="M666" s="69" t="n"/>
      <c r="N666" s="58" t="n"/>
    </row>
    <row r="667" ht="72.75" customHeight="1">
      <c r="A667" s="69" t="n"/>
      <c r="B667" s="69" t="n"/>
      <c r="C667" s="70" t="n"/>
      <c r="D667" s="69" t="n"/>
      <c r="E667" s="69" t="n"/>
      <c r="F667" s="69" t="n"/>
      <c r="G667" s="69" t="n"/>
      <c r="H667" s="69" t="n"/>
      <c r="I667" s="69" t="n"/>
      <c r="J667" s="74" t="n"/>
      <c r="K667" s="69" t="n"/>
      <c r="L667" s="18" t="n"/>
      <c r="M667" s="69" t="n"/>
      <c r="N667" s="58" t="n"/>
    </row>
    <row r="668" ht="87" customHeight="1">
      <c r="A668" s="69" t="n"/>
      <c r="B668" s="69" t="n"/>
      <c r="C668" s="70" t="n"/>
      <c r="D668" s="69" t="n"/>
      <c r="E668" s="69" t="n"/>
      <c r="F668" s="69" t="n"/>
      <c r="G668" s="69" t="n"/>
      <c r="H668" s="69" t="n"/>
      <c r="I668" s="69" t="n"/>
      <c r="J668" s="74" t="n"/>
      <c r="K668" s="69" t="n"/>
      <c r="L668" s="18" t="n"/>
      <c r="M668" s="69" t="n"/>
      <c r="N668" s="58" t="n"/>
    </row>
    <row r="669" ht="72.75" customHeight="1">
      <c r="A669" s="69" t="n"/>
      <c r="B669" s="69" t="n"/>
      <c r="C669" s="70" t="n"/>
      <c r="D669" s="69" t="n"/>
      <c r="E669" s="69" t="n"/>
      <c r="F669" s="69" t="n"/>
      <c r="G669" s="69" t="n"/>
      <c r="H669" s="69" t="n"/>
      <c r="I669" s="69" t="n"/>
      <c r="J669" s="74" t="n"/>
      <c r="K669" s="69" t="n"/>
      <c r="L669" s="18" t="n"/>
      <c r="M669" s="69" t="n"/>
      <c r="N669" s="58" t="n"/>
    </row>
    <row r="670" ht="303.75" customHeight="1">
      <c r="A670" s="69" t="n"/>
      <c r="B670" s="69" t="n"/>
      <c r="C670" s="70" t="n"/>
      <c r="D670" s="69" t="n"/>
      <c r="E670" s="69" t="n"/>
      <c r="F670" s="69" t="n"/>
      <c r="G670" s="69" t="n"/>
      <c r="H670" s="69" t="n"/>
      <c r="I670" s="69" t="n"/>
      <c r="J670" s="74" t="n"/>
      <c r="K670" s="69" t="n"/>
      <c r="L670" s="18" t="n"/>
      <c r="M670" s="69" t="n"/>
      <c r="N670" s="58" t="n"/>
    </row>
    <row r="671" ht="72.75" customHeight="1">
      <c r="A671" s="69" t="n"/>
      <c r="B671" s="69" t="n"/>
      <c r="C671" s="70" t="n"/>
      <c r="D671" s="69" t="n"/>
      <c r="E671" s="69" t="n"/>
      <c r="F671" s="69" t="n"/>
      <c r="G671" s="69" t="n"/>
      <c r="H671" s="69" t="n"/>
      <c r="I671" s="69" t="n"/>
      <c r="J671" s="74" t="n"/>
      <c r="K671" s="69" t="n"/>
      <c r="L671" s="18" t="n"/>
      <c r="M671" s="69" t="n"/>
      <c r="N671" s="58" t="n"/>
    </row>
    <row r="672" ht="57.75" customHeight="1">
      <c r="A672" s="69" t="n"/>
      <c r="B672" s="69" t="n"/>
      <c r="C672" s="70" t="n"/>
      <c r="D672" s="69" t="n"/>
      <c r="E672" s="69" t="n"/>
      <c r="F672" s="69" t="n"/>
      <c r="G672" s="69" t="n"/>
      <c r="H672" s="69" t="n"/>
      <c r="I672" s="69" t="n"/>
      <c r="J672" s="74" t="n"/>
      <c r="K672" s="69" t="n"/>
      <c r="L672" s="18" t="n"/>
      <c r="M672" s="69" t="n"/>
      <c r="N672" s="58" t="n"/>
    </row>
    <row r="673" ht="87" customHeight="1">
      <c r="A673" s="69" t="n"/>
      <c r="B673" s="69" t="n"/>
      <c r="C673" s="70" t="n"/>
      <c r="D673" s="69" t="n"/>
      <c r="E673" s="69" t="n"/>
      <c r="F673" s="69" t="n"/>
      <c r="G673" s="69" t="n"/>
      <c r="H673" s="69" t="n"/>
      <c r="I673" s="69" t="n"/>
      <c r="J673" s="74" t="n"/>
      <c r="K673" s="69" t="n"/>
      <c r="L673" s="18" t="n"/>
      <c r="M673" s="69" t="n"/>
      <c r="N673" s="58" t="n"/>
    </row>
    <row r="674" ht="43.5" customHeight="1">
      <c r="A674" s="69" t="n"/>
      <c r="B674" s="69" t="n"/>
      <c r="C674" s="70" t="n"/>
      <c r="D674" s="69" t="n"/>
      <c r="E674" s="69" t="n"/>
      <c r="F674" s="69" t="n"/>
      <c r="G674" s="69" t="n"/>
      <c r="H674" s="69" t="n"/>
      <c r="I674" s="69" t="n"/>
      <c r="J674" s="74" t="n"/>
      <c r="K674" s="69" t="n"/>
      <c r="L674" s="18" t="n"/>
      <c r="M674" s="69" t="n"/>
      <c r="N674" s="58" t="n"/>
    </row>
    <row r="675" ht="43.5" customHeight="1">
      <c r="A675" s="69" t="n"/>
      <c r="B675" s="69" t="n"/>
      <c r="C675" s="70" t="n"/>
      <c r="D675" s="69" t="n"/>
      <c r="E675" s="69" t="n"/>
      <c r="F675" s="69" t="n"/>
      <c r="G675" s="69" t="n"/>
      <c r="H675" s="69" t="n"/>
      <c r="I675" s="69" t="n"/>
      <c r="J675" s="74" t="n"/>
      <c r="K675" s="69" t="n"/>
      <c r="L675" s="18" t="n"/>
      <c r="M675" s="69" t="n"/>
      <c r="N675" s="58" t="n"/>
    </row>
    <row r="676" ht="29.25" customHeight="1">
      <c r="A676" s="69" t="n"/>
      <c r="B676" s="69" t="n"/>
      <c r="C676" s="70" t="n"/>
      <c r="D676" s="69" t="n"/>
      <c r="E676" s="69" t="n"/>
      <c r="F676" s="69" t="n"/>
      <c r="G676" s="69" t="n"/>
      <c r="H676" s="69" t="n"/>
      <c r="I676" s="69" t="n"/>
      <c r="J676" s="74" t="n"/>
      <c r="K676" s="69" t="n"/>
      <c r="L676" s="18" t="n"/>
      <c r="M676" s="69" t="n"/>
      <c r="N676" s="58" t="n"/>
    </row>
    <row r="677">
      <c r="A677" s="69" t="n"/>
      <c r="B677" s="69" t="n"/>
      <c r="C677" s="70" t="n"/>
      <c r="D677" s="69" t="n"/>
      <c r="E677" s="69" t="n"/>
      <c r="F677" s="69" t="n"/>
      <c r="G677" s="69" t="n"/>
      <c r="H677" s="69" t="n"/>
      <c r="I677" s="69" t="n"/>
      <c r="J677" s="74" t="n"/>
      <c r="K677" s="69" t="n"/>
      <c r="L677" s="18" t="n"/>
      <c r="M677" s="69" t="n"/>
      <c r="N677" s="58" t="n"/>
    </row>
    <row r="678" ht="101.25" customHeight="1">
      <c r="A678" s="69" t="n"/>
      <c r="B678" s="69" t="n"/>
      <c r="C678" s="70" t="n"/>
      <c r="D678" s="69" t="n"/>
      <c r="E678" s="69" t="n"/>
      <c r="F678" s="69" t="n"/>
      <c r="G678" s="69" t="n"/>
      <c r="H678" s="69" t="n"/>
      <c r="I678" s="69" t="n"/>
      <c r="J678" s="74" t="n"/>
      <c r="K678" s="69" t="n"/>
      <c r="L678" s="18" t="n"/>
      <c r="M678" s="69" t="n"/>
      <c r="N678" s="58" t="n"/>
    </row>
    <row r="679" ht="43.5" customHeight="1">
      <c r="A679" s="69" t="n"/>
      <c r="B679" s="69" t="n"/>
      <c r="C679" s="70" t="n"/>
      <c r="D679" s="69" t="n"/>
      <c r="E679" s="69" t="n"/>
      <c r="F679" s="69" t="n"/>
      <c r="G679" s="69" t="n"/>
      <c r="H679" s="69" t="n"/>
      <c r="I679" s="69" t="n"/>
      <c r="J679" s="74" t="n"/>
      <c r="K679" s="69" t="n"/>
      <c r="L679" s="18" t="n"/>
      <c r="M679" s="69" t="n"/>
      <c r="N679" s="58" t="n"/>
    </row>
    <row r="680" ht="87" customHeight="1">
      <c r="A680" s="69" t="n"/>
      <c r="B680" s="69" t="n"/>
      <c r="C680" s="70" t="n"/>
      <c r="D680" s="69" t="n"/>
      <c r="E680" s="69" t="n"/>
      <c r="F680" s="69" t="n"/>
      <c r="G680" s="69" t="n"/>
      <c r="H680" s="69" t="n"/>
      <c r="I680" s="69" t="n"/>
      <c r="J680" s="74" t="n"/>
      <c r="K680" s="69" t="n"/>
      <c r="L680" s="18" t="n"/>
      <c r="M680" s="69" t="n"/>
      <c r="N680" s="58" t="n"/>
    </row>
    <row r="681" ht="57.75" customHeight="1">
      <c r="A681" s="69" t="n"/>
      <c r="B681" s="69" t="n"/>
      <c r="C681" s="70" t="n"/>
      <c r="D681" s="69" t="n"/>
      <c r="E681" s="69" t="n"/>
      <c r="F681" s="69" t="n"/>
      <c r="G681" s="69" t="n"/>
      <c r="H681" s="69" t="n"/>
      <c r="I681" s="69" t="n"/>
      <c r="J681" s="74" t="n"/>
      <c r="K681" s="69" t="n"/>
      <c r="L681" s="18" t="n"/>
      <c r="M681" s="69" t="n"/>
      <c r="N681" s="58" t="n"/>
    </row>
    <row r="682" ht="216.75" customHeight="1">
      <c r="A682" s="69" t="n"/>
      <c r="B682" s="69" t="n"/>
      <c r="C682" s="70" t="n"/>
      <c r="D682" s="69" t="n"/>
      <c r="E682" s="69" t="n"/>
      <c r="F682" s="69" t="n"/>
      <c r="G682" s="69" t="n"/>
      <c r="H682" s="69" t="n"/>
      <c r="I682" s="69" t="n"/>
      <c r="J682" s="74" t="n"/>
      <c r="K682" s="69" t="n"/>
      <c r="L682" s="18" t="n"/>
      <c r="M682" s="69" t="n"/>
      <c r="N682" s="58" t="n"/>
    </row>
    <row r="683" ht="101.25" customHeight="1">
      <c r="A683" s="69" t="n"/>
      <c r="B683" s="69" t="n"/>
      <c r="C683" s="70" t="n"/>
      <c r="D683" s="69" t="n"/>
      <c r="E683" s="69" t="n"/>
      <c r="F683" s="69" t="n"/>
      <c r="G683" s="69" t="n"/>
      <c r="H683" s="69" t="n"/>
      <c r="I683" s="69" t="n"/>
      <c r="J683" s="74" t="n"/>
      <c r="K683" s="69" t="n"/>
      <c r="L683" s="18" t="n"/>
      <c r="M683" s="69" t="n"/>
      <c r="N683" s="58" t="n"/>
    </row>
    <row r="684" ht="72.75" customHeight="1">
      <c r="A684" s="69" t="n"/>
      <c r="B684" s="69" t="n"/>
      <c r="C684" s="70" t="n"/>
      <c r="D684" s="69" t="n"/>
      <c r="E684" s="69" t="n"/>
      <c r="F684" s="69" t="n"/>
      <c r="G684" s="69" t="n"/>
      <c r="H684" s="69" t="n"/>
      <c r="I684" s="69" t="n"/>
      <c r="J684" s="74" t="n"/>
      <c r="K684" s="69" t="n"/>
      <c r="L684" s="18" t="n"/>
      <c r="M684" s="69" t="n"/>
      <c r="N684" s="58" t="n"/>
    </row>
    <row r="685" ht="72.75" customHeight="1">
      <c r="A685" s="69" t="n"/>
      <c r="B685" s="69" t="n"/>
      <c r="C685" s="70" t="n"/>
      <c r="D685" s="69" t="n"/>
      <c r="E685" s="69" t="n"/>
      <c r="F685" s="69" t="n"/>
      <c r="G685" s="69" t="n"/>
      <c r="H685" s="69" t="n"/>
      <c r="I685" s="69" t="n"/>
      <c r="J685" s="74" t="n"/>
      <c r="K685" s="69" t="n"/>
      <c r="L685" s="18" t="n"/>
      <c r="M685" s="69" t="n"/>
      <c r="N685" s="58" t="n"/>
    </row>
    <row r="686" ht="130.5" customHeight="1">
      <c r="A686" s="69" t="n"/>
      <c r="B686" s="69" t="n"/>
      <c r="C686" s="70" t="n"/>
      <c r="D686" s="69" t="n"/>
      <c r="E686" s="69" t="n"/>
      <c r="F686" s="69" t="n"/>
      <c r="G686" s="69" t="n"/>
      <c r="H686" s="69" t="n"/>
      <c r="I686" s="69" t="n"/>
      <c r="J686" s="74" t="n"/>
      <c r="K686" s="69" t="n"/>
      <c r="L686" s="18" t="n"/>
      <c r="M686" s="69" t="n"/>
      <c r="N686" s="58" t="n"/>
    </row>
    <row r="687" ht="101.25" customHeight="1">
      <c r="A687" s="69" t="n"/>
      <c r="B687" s="69" t="n"/>
      <c r="C687" s="70" t="n"/>
      <c r="D687" s="69" t="n"/>
      <c r="E687" s="69" t="n"/>
      <c r="F687" s="69" t="n"/>
      <c r="G687" s="69" t="n"/>
      <c r="H687" s="69" t="n"/>
      <c r="I687" s="69" t="n"/>
      <c r="J687" s="74" t="n"/>
      <c r="K687" s="69" t="n"/>
      <c r="L687" s="18" t="n"/>
      <c r="M687" s="69" t="n"/>
      <c r="N687" s="58" t="n"/>
    </row>
    <row r="688" ht="101.25" customHeight="1">
      <c r="A688" s="69" t="n"/>
      <c r="B688" s="69" t="n"/>
      <c r="C688" s="70" t="n"/>
      <c r="D688" s="69" t="n"/>
      <c r="E688" s="69" t="n"/>
      <c r="F688" s="69" t="n"/>
      <c r="G688" s="69" t="n"/>
      <c r="H688" s="69" t="n"/>
      <c r="I688" s="69" t="n"/>
      <c r="J688" s="74" t="n"/>
      <c r="K688" s="69" t="n"/>
      <c r="L688" s="18" t="n"/>
      <c r="M688" s="69" t="n"/>
      <c r="N688" s="58" t="n"/>
    </row>
    <row r="689" ht="144.75" customHeight="1">
      <c r="A689" s="69" t="n"/>
      <c r="B689" s="69" t="n"/>
      <c r="C689" s="70" t="n"/>
      <c r="D689" s="69" t="n"/>
      <c r="E689" s="69" t="n"/>
      <c r="F689" s="69" t="n"/>
      <c r="G689" s="69" t="n"/>
      <c r="H689" s="69" t="n"/>
      <c r="I689" s="69" t="n"/>
      <c r="J689" s="74" t="n"/>
      <c r="K689" s="69" t="n"/>
      <c r="L689" s="18" t="n"/>
      <c r="M689" s="69" t="n"/>
      <c r="N689" s="58" t="n"/>
    </row>
    <row r="690" ht="130.5" customHeight="1">
      <c r="A690" s="69" t="n"/>
      <c r="B690" s="69" t="n"/>
      <c r="C690" s="70" t="n"/>
      <c r="D690" s="69" t="n"/>
      <c r="E690" s="69" t="n"/>
      <c r="F690" s="69" t="n"/>
      <c r="G690" s="69" t="n"/>
      <c r="H690" s="69" t="n"/>
      <c r="I690" s="69" t="n"/>
      <c r="J690" s="74" t="n"/>
      <c r="K690" s="69" t="n"/>
      <c r="L690" s="18" t="n"/>
      <c r="M690" s="69" t="n"/>
      <c r="N690" s="58" t="n"/>
    </row>
    <row r="691" ht="101.25" customHeight="1">
      <c r="A691" s="69" t="n"/>
      <c r="B691" s="69" t="n"/>
      <c r="C691" s="70" t="n"/>
      <c r="D691" s="69" t="n"/>
      <c r="E691" s="69" t="n"/>
      <c r="F691" s="69" t="n"/>
      <c r="G691" s="69" t="n"/>
      <c r="H691" s="69" t="n"/>
      <c r="I691" s="69" t="n"/>
      <c r="J691" s="74" t="n"/>
      <c r="K691" s="69" t="n"/>
      <c r="L691" s="18" t="n"/>
      <c r="M691" s="69" t="n"/>
      <c r="N691" s="58" t="n"/>
    </row>
    <row r="692" ht="29.25" customHeight="1">
      <c r="A692" s="69" t="n"/>
      <c r="B692" s="69" t="n"/>
      <c r="C692" s="70" t="n"/>
      <c r="D692" s="69" t="n"/>
      <c r="E692" s="69" t="n"/>
      <c r="F692" s="69" t="n"/>
      <c r="G692" s="69" t="n"/>
      <c r="H692" s="69" t="n"/>
      <c r="I692" s="69" t="n"/>
      <c r="J692" s="74" t="n"/>
      <c r="K692" s="69" t="n"/>
      <c r="L692" s="18" t="n"/>
      <c r="M692" s="69" t="n"/>
      <c r="N692" s="58" t="n"/>
    </row>
    <row r="693" ht="29.25" customHeight="1">
      <c r="A693" s="69" t="n"/>
      <c r="B693" s="69" t="n"/>
      <c r="C693" s="70" t="n"/>
      <c r="D693" s="69" t="n"/>
      <c r="E693" s="69" t="n"/>
      <c r="F693" s="69" t="n"/>
      <c r="G693" s="69" t="n"/>
      <c r="H693" s="69" t="n"/>
      <c r="I693" s="69" t="n"/>
      <c r="J693" s="74" t="n"/>
      <c r="K693" s="69" t="n"/>
      <c r="L693" s="18" t="n"/>
      <c r="M693" s="69" t="n"/>
      <c r="N693" s="58" t="n"/>
    </row>
    <row r="694" ht="130.5" customHeight="1">
      <c r="A694" s="69" t="n"/>
      <c r="B694" s="69" t="n"/>
      <c r="C694" s="70" t="n"/>
      <c r="D694" s="69" t="n"/>
      <c r="E694" s="69" t="n"/>
      <c r="F694" s="69" t="n"/>
      <c r="G694" s="69" t="n"/>
      <c r="H694" s="69" t="n"/>
      <c r="I694" s="69" t="n"/>
      <c r="J694" s="74" t="n"/>
      <c r="K694" s="69" t="n"/>
      <c r="L694" s="18" t="n"/>
      <c r="M694" s="69" t="n"/>
      <c r="N694" s="58" t="n"/>
    </row>
    <row r="695" ht="29.25" customHeight="1">
      <c r="A695" s="69" t="n"/>
      <c r="B695" s="69" t="n"/>
      <c r="C695" s="70" t="n"/>
      <c r="D695" s="69" t="n"/>
      <c r="E695" s="69" t="n"/>
      <c r="F695" s="69" t="n"/>
      <c r="G695" s="69" t="n"/>
      <c r="H695" s="69" t="n"/>
      <c r="I695" s="69" t="n"/>
      <c r="J695" s="74" t="n"/>
      <c r="K695" s="69" t="n"/>
      <c r="L695" s="18" t="n"/>
      <c r="M695" s="69" t="n"/>
      <c r="N695" s="58" t="n"/>
    </row>
    <row r="696" ht="43.5" customHeight="1">
      <c r="A696" s="69" t="n"/>
      <c r="B696" s="69" t="n"/>
      <c r="C696" s="70" t="n"/>
      <c r="D696" s="69" t="n"/>
      <c r="E696" s="69" t="n"/>
      <c r="F696" s="69" t="n"/>
      <c r="G696" s="69" t="n"/>
      <c r="H696" s="69" t="n"/>
      <c r="I696" s="69" t="n"/>
      <c r="J696" s="74" t="n"/>
      <c r="K696" s="69" t="n"/>
      <c r="L696" s="18" t="n"/>
      <c r="M696" s="69" t="n"/>
      <c r="N696" s="58" t="n"/>
    </row>
    <row r="697" ht="115.5" customHeight="1">
      <c r="A697" s="69" t="n"/>
      <c r="B697" s="69" t="n"/>
      <c r="C697" s="70" t="n"/>
      <c r="D697" s="69" t="n"/>
      <c r="E697" s="69" t="n"/>
      <c r="F697" s="69" t="n"/>
      <c r="G697" s="69" t="n"/>
      <c r="H697" s="69" t="n"/>
      <c r="I697" s="69" t="n"/>
      <c r="J697" s="74" t="n"/>
      <c r="K697" s="69" t="n"/>
      <c r="L697" s="18" t="n"/>
      <c r="M697" s="69" t="n"/>
      <c r="N697" s="58" t="n"/>
    </row>
    <row r="698" ht="72.75" customHeight="1">
      <c r="A698" s="69" t="n"/>
      <c r="B698" s="69" t="n"/>
      <c r="C698" s="70" t="n"/>
      <c r="D698" s="69" t="n"/>
      <c r="E698" s="69" t="n"/>
      <c r="F698" s="69" t="n"/>
      <c r="G698" s="69" t="n"/>
      <c r="H698" s="69" t="n"/>
      <c r="I698" s="69" t="n"/>
      <c r="J698" s="74" t="n"/>
      <c r="K698" s="69" t="n"/>
      <c r="L698" s="18" t="n"/>
      <c r="M698" s="69" t="n"/>
      <c r="N698" s="58" t="n"/>
    </row>
    <row r="699" ht="29.25" customHeight="1">
      <c r="A699" s="69" t="n"/>
      <c r="B699" s="69" t="n"/>
      <c r="C699" s="70" t="n"/>
      <c r="D699" s="69" t="n"/>
      <c r="E699" s="69" t="n"/>
      <c r="F699" s="69" t="n"/>
      <c r="G699" s="69" t="n"/>
      <c r="H699" s="69" t="n"/>
      <c r="I699" s="69" t="n"/>
      <c r="J699" s="74" t="n"/>
      <c r="K699" s="69" t="n"/>
      <c r="L699" s="18" t="n"/>
      <c r="M699" s="69" t="n"/>
      <c r="N699" s="58" t="n"/>
    </row>
    <row r="700" ht="43.5" customHeight="1">
      <c r="A700" s="69" t="n"/>
      <c r="B700" s="69" t="n"/>
      <c r="C700" s="70" t="n"/>
      <c r="D700" s="69" t="n"/>
      <c r="E700" s="69" t="n"/>
      <c r="F700" s="69" t="n"/>
      <c r="G700" s="69" t="n"/>
      <c r="H700" s="69" t="n"/>
      <c r="I700" s="69" t="n"/>
      <c r="J700" s="74" t="n"/>
      <c r="K700" s="69" t="n"/>
      <c r="L700" s="18" t="n"/>
      <c r="M700" s="69" t="n"/>
      <c r="N700" s="58" t="n"/>
    </row>
    <row r="701" ht="115.5" customHeight="1">
      <c r="A701" s="69" t="n"/>
      <c r="B701" s="69" t="n"/>
      <c r="C701" s="70" t="n"/>
      <c r="D701" s="69" t="n"/>
      <c r="E701" s="69" t="n"/>
      <c r="F701" s="69" t="n"/>
      <c r="G701" s="69" t="n"/>
      <c r="H701" s="69" t="n"/>
      <c r="I701" s="69" t="n"/>
      <c r="J701" s="74" t="n"/>
      <c r="K701" s="69" t="n"/>
      <c r="L701" s="18" t="n"/>
      <c r="M701" s="69" t="n"/>
      <c r="N701" s="58" t="n"/>
    </row>
    <row r="702" ht="72.75" customHeight="1">
      <c r="A702" s="69" t="n"/>
      <c r="B702" s="69" t="n"/>
      <c r="C702" s="70" t="n"/>
      <c r="D702" s="69" t="n"/>
      <c r="E702" s="69" t="n"/>
      <c r="F702" s="69" t="n"/>
      <c r="G702" s="69" t="n"/>
      <c r="H702" s="69" t="n"/>
      <c r="I702" s="69" t="n"/>
      <c r="J702" s="74" t="n"/>
      <c r="K702" s="69" t="n"/>
      <c r="L702" s="18" t="n"/>
      <c r="M702" s="69" t="n"/>
      <c r="N702" s="58" t="n"/>
    </row>
    <row r="703" ht="174" customHeight="1">
      <c r="A703" s="69" t="n"/>
      <c r="B703" s="69" t="n"/>
      <c r="C703" s="70" t="n"/>
      <c r="D703" s="69" t="n"/>
      <c r="E703" s="69" t="n"/>
      <c r="F703" s="69" t="n"/>
      <c r="G703" s="69" t="n"/>
      <c r="H703" s="69" t="n"/>
      <c r="I703" s="69" t="n"/>
      <c r="J703" s="74" t="n"/>
      <c r="K703" s="69" t="n"/>
      <c r="L703" s="18" t="n"/>
      <c r="M703" s="69" t="n"/>
      <c r="N703" s="58" t="n"/>
    </row>
    <row r="704" ht="101.25" customHeight="1">
      <c r="A704" s="69" t="n"/>
      <c r="B704" s="69" t="n"/>
      <c r="C704" s="70" t="n"/>
      <c r="D704" s="69" t="n"/>
      <c r="E704" s="69" t="n"/>
      <c r="F704" s="69" t="n"/>
      <c r="G704" s="69" t="n"/>
      <c r="H704" s="69" t="n"/>
      <c r="I704" s="69" t="n"/>
      <c r="J704" s="74" t="n"/>
      <c r="K704" s="69" t="n"/>
      <c r="L704" s="18" t="n"/>
      <c r="M704" s="69" t="n"/>
      <c r="N704" s="58" t="n"/>
    </row>
    <row r="705" ht="72.75" customHeight="1">
      <c r="A705" s="69" t="n"/>
      <c r="B705" s="69" t="n"/>
      <c r="C705" s="70" t="n"/>
      <c r="D705" s="69" t="n"/>
      <c r="E705" s="69" t="n"/>
      <c r="F705" s="69" t="n"/>
      <c r="G705" s="69" t="n"/>
      <c r="H705" s="69" t="n"/>
      <c r="I705" s="69" t="n"/>
      <c r="J705" s="74" t="n"/>
      <c r="K705" s="69" t="n"/>
      <c r="L705" s="18" t="n"/>
      <c r="M705" s="69" t="n"/>
      <c r="N705" s="58" t="n"/>
    </row>
    <row r="706" ht="87" customHeight="1">
      <c r="A706" s="69" t="n"/>
      <c r="B706" s="69" t="n"/>
      <c r="C706" s="70" t="n"/>
      <c r="D706" s="69" t="n"/>
      <c r="E706" s="69" t="n"/>
      <c r="F706" s="69" t="n"/>
      <c r="G706" s="69" t="n"/>
      <c r="H706" s="69" t="n"/>
      <c r="I706" s="69" t="n"/>
      <c r="J706" s="74" t="n"/>
      <c r="K706" s="69" t="n"/>
      <c r="L706" s="18" t="n"/>
      <c r="M706" s="69" t="n"/>
      <c r="N706" s="58" t="n"/>
    </row>
    <row r="707">
      <c r="A707" s="69" t="n"/>
      <c r="B707" s="69" t="n"/>
      <c r="C707" s="70" t="n"/>
      <c r="D707" s="69" t="n"/>
      <c r="E707" s="69" t="n"/>
      <c r="F707" s="69" t="n"/>
      <c r="G707" s="69" t="n"/>
      <c r="H707" s="69" t="n"/>
      <c r="I707" s="69" t="n"/>
      <c r="J707" s="74" t="n"/>
      <c r="K707" s="69" t="n"/>
      <c r="L707" s="18" t="n"/>
      <c r="M707" s="69" t="n"/>
      <c r="N707" s="58" t="n"/>
    </row>
    <row r="708" ht="87" customHeight="1">
      <c r="A708" s="69" t="n"/>
      <c r="B708" s="69" t="n"/>
      <c r="C708" s="70" t="n"/>
      <c r="D708" s="69" t="n"/>
      <c r="E708" s="69" t="n"/>
      <c r="F708" s="69" t="n"/>
      <c r="G708" s="69" t="n"/>
      <c r="H708" s="69" t="n"/>
      <c r="I708" s="69" t="n"/>
      <c r="J708" s="74" t="n"/>
      <c r="K708" s="69" t="n"/>
      <c r="L708" s="18" t="n"/>
      <c r="M708" s="69" t="n"/>
      <c r="N708" s="58" t="n"/>
    </row>
    <row r="709" ht="87" customHeight="1">
      <c r="A709" s="69" t="n"/>
      <c r="B709" s="69" t="n"/>
      <c r="C709" s="70" t="n"/>
      <c r="D709" s="69" t="n"/>
      <c r="E709" s="69" t="n"/>
      <c r="F709" s="69" t="n"/>
      <c r="G709" s="69" t="n"/>
      <c r="H709" s="69" t="n"/>
      <c r="I709" s="69" t="n"/>
      <c r="J709" s="74" t="n"/>
      <c r="K709" s="69" t="n"/>
      <c r="L709" s="18" t="n"/>
      <c r="M709" s="69" t="n"/>
      <c r="N709" s="58" t="n"/>
    </row>
    <row r="710" ht="245.25" customHeight="1">
      <c r="A710" s="69" t="n"/>
      <c r="B710" s="69" t="n"/>
      <c r="C710" s="70" t="n"/>
      <c r="D710" s="69" t="n"/>
      <c r="E710" s="69" t="n"/>
      <c r="F710" s="69" t="n"/>
      <c r="G710" s="69" t="n"/>
      <c r="H710" s="69" t="n"/>
      <c r="I710" s="69" t="n"/>
      <c r="J710" s="74" t="n"/>
      <c r="K710" s="69" t="n"/>
      <c r="L710" s="18" t="n"/>
      <c r="M710" s="69" t="n"/>
      <c r="N710" s="58" t="n"/>
    </row>
    <row r="711">
      <c r="A711" s="69" t="n"/>
      <c r="B711" s="69" t="n"/>
      <c r="C711" s="70" t="n"/>
      <c r="D711" s="69" t="n"/>
      <c r="E711" s="69" t="n"/>
      <c r="F711" s="69" t="n"/>
      <c r="G711" s="69" t="n"/>
      <c r="H711" s="69" t="n"/>
      <c r="I711" s="69" t="n"/>
      <c r="J711" s="74" t="n"/>
      <c r="K711" s="69" t="n"/>
      <c r="L711" s="18" t="n"/>
      <c r="M711" s="69" t="n"/>
      <c r="N711" s="58" t="n"/>
    </row>
    <row r="712" ht="29.25" customHeight="1">
      <c r="A712" s="69" t="n"/>
      <c r="B712" s="69" t="n"/>
      <c r="C712" s="70" t="n"/>
      <c r="D712" s="69" t="n"/>
      <c r="E712" s="69" t="n"/>
      <c r="F712" s="69" t="n"/>
      <c r="G712" s="69" t="n"/>
      <c r="H712" s="69" t="n"/>
      <c r="I712" s="69" t="n"/>
      <c r="J712" s="74" t="n"/>
      <c r="K712" s="69" t="n"/>
      <c r="L712" s="18" t="n"/>
      <c r="M712" s="69" t="n"/>
      <c r="N712" s="58" t="n"/>
    </row>
    <row r="713" ht="57.75" customHeight="1">
      <c r="A713" s="69" t="n"/>
      <c r="B713" s="69" t="n"/>
      <c r="C713" s="70" t="n"/>
      <c r="D713" s="69" t="n"/>
      <c r="E713" s="69" t="n"/>
      <c r="F713" s="69" t="n"/>
      <c r="G713" s="69" t="n"/>
      <c r="H713" s="69" t="n"/>
      <c r="I713" s="69" t="n"/>
      <c r="J713" s="74" t="n"/>
      <c r="K713" s="69" t="n"/>
      <c r="L713" s="18" t="n"/>
      <c r="M713" s="69" t="n"/>
      <c r="N713" s="58" t="n"/>
    </row>
    <row r="714">
      <c r="A714" s="69" t="n"/>
      <c r="B714" s="69" t="n"/>
      <c r="C714" s="70" t="n"/>
      <c r="D714" s="69" t="n"/>
      <c r="E714" s="69" t="n"/>
      <c r="F714" s="69" t="n"/>
      <c r="G714" s="69" t="n"/>
      <c r="H714" s="69" t="n"/>
      <c r="I714" s="69" t="n"/>
      <c r="J714" s="74" t="n"/>
      <c r="K714" s="69" t="n"/>
      <c r="L714" s="18" t="n"/>
      <c r="M714" s="69" t="n"/>
      <c r="N714" s="58" t="n"/>
    </row>
    <row r="715" ht="87" customHeight="1">
      <c r="A715" s="69" t="n"/>
      <c r="B715" s="69" t="n"/>
      <c r="C715" s="70" t="n"/>
      <c r="D715" s="69" t="n"/>
      <c r="E715" s="69" t="n"/>
      <c r="F715" s="69" t="n"/>
      <c r="G715" s="69" t="n"/>
      <c r="H715" s="69" t="n"/>
      <c r="I715" s="69" t="n"/>
      <c r="J715" s="74" t="n"/>
      <c r="K715" s="69" t="n"/>
      <c r="L715" s="18" t="n"/>
      <c r="M715" s="69" t="n"/>
      <c r="N715" s="58" t="n"/>
    </row>
    <row r="716" ht="87" customHeight="1">
      <c r="A716" s="69" t="n"/>
      <c r="B716" s="69" t="n"/>
      <c r="C716" s="70" t="n"/>
      <c r="D716" s="69" t="n"/>
      <c r="E716" s="69" t="n"/>
      <c r="F716" s="69" t="n"/>
      <c r="G716" s="69" t="n"/>
      <c r="H716" s="69" t="n"/>
      <c r="I716" s="69" t="n"/>
      <c r="J716" s="74" t="n"/>
      <c r="K716" s="69" t="n"/>
      <c r="L716" s="18" t="n"/>
      <c r="M716" s="69" t="n"/>
      <c r="N716" s="58" t="n"/>
    </row>
    <row r="717" ht="43.5" customHeight="1">
      <c r="A717" s="69" t="n"/>
      <c r="B717" s="69" t="n"/>
      <c r="C717" s="70" t="n"/>
      <c r="D717" s="69" t="n"/>
      <c r="E717" s="69" t="n"/>
      <c r="F717" s="69" t="n"/>
      <c r="G717" s="69" t="n"/>
      <c r="H717" s="69" t="n"/>
      <c r="I717" s="69" t="n"/>
      <c r="J717" s="74" t="n"/>
      <c r="K717" s="69" t="n"/>
      <c r="L717" s="18" t="n"/>
      <c r="M717" s="69" t="n"/>
      <c r="N717" s="58" t="n"/>
    </row>
    <row r="718" ht="43.5" customHeight="1">
      <c r="A718" s="69" t="n"/>
      <c r="B718" s="69" t="n"/>
      <c r="C718" s="70" t="n"/>
      <c r="D718" s="69" t="n"/>
      <c r="E718" s="69" t="n"/>
      <c r="F718" s="69" t="n"/>
      <c r="G718" s="69" t="n"/>
      <c r="H718" s="69" t="n"/>
      <c r="I718" s="69" t="n"/>
      <c r="J718" s="74" t="n"/>
      <c r="K718" s="69" t="n"/>
      <c r="L718" s="18" t="n"/>
      <c r="M718" s="69" t="n"/>
      <c r="N718" s="58" t="n"/>
    </row>
    <row r="719" ht="144.75" customHeight="1">
      <c r="A719" s="69" t="n"/>
      <c r="B719" s="69" t="n"/>
      <c r="C719" s="70" t="n"/>
      <c r="D719" s="69" t="n"/>
      <c r="E719" s="69" t="n"/>
      <c r="F719" s="69" t="n"/>
      <c r="G719" s="69" t="n"/>
      <c r="H719" s="69" t="n"/>
      <c r="I719" s="69" t="n"/>
      <c r="J719" s="74" t="n"/>
      <c r="K719" s="69" t="n"/>
      <c r="L719" s="18" t="n"/>
      <c r="M719" s="69" t="n"/>
      <c r="N719" s="58" t="n"/>
    </row>
    <row r="720" ht="87" customHeight="1">
      <c r="A720" s="69" t="n"/>
      <c r="B720" s="69" t="n"/>
      <c r="C720" s="70" t="n"/>
      <c r="D720" s="69" t="n"/>
      <c r="E720" s="69" t="n"/>
      <c r="F720" s="69" t="n"/>
      <c r="G720" s="69" t="n"/>
      <c r="H720" s="69" t="n"/>
      <c r="I720" s="69" t="n"/>
      <c r="J720" s="74" t="n"/>
      <c r="K720" s="69" t="n"/>
      <c r="L720" s="18" t="n"/>
      <c r="M720" s="69" t="n"/>
      <c r="N720" s="58" t="n"/>
    </row>
    <row r="721" ht="43.5" customHeight="1">
      <c r="A721" s="69" t="n"/>
      <c r="B721" s="69" t="n"/>
      <c r="C721" s="70" t="n"/>
      <c r="D721" s="69" t="n"/>
      <c r="E721" s="69" t="n"/>
      <c r="F721" s="69" t="n"/>
      <c r="G721" s="69" t="n"/>
      <c r="H721" s="69" t="n"/>
      <c r="I721" s="69" t="n"/>
      <c r="J721" s="74" t="n"/>
      <c r="K721" s="69" t="n"/>
      <c r="L721" s="18" t="n"/>
      <c r="M721" s="69" t="n"/>
      <c r="N721" s="58" t="n"/>
    </row>
    <row r="722" ht="72.75" customHeight="1">
      <c r="A722" s="69" t="n"/>
      <c r="B722" s="69" t="n"/>
      <c r="C722" s="70" t="n"/>
      <c r="D722" s="69" t="n"/>
      <c r="E722" s="69" t="n"/>
      <c r="F722" s="69" t="n"/>
      <c r="G722" s="69" t="n"/>
      <c r="H722" s="69" t="n"/>
      <c r="I722" s="69" t="n"/>
      <c r="J722" s="74" t="n"/>
      <c r="K722" s="69" t="n"/>
      <c r="L722" s="18" t="n"/>
      <c r="M722" s="69" t="n"/>
      <c r="N722" s="58" t="n"/>
    </row>
    <row r="723" ht="43.5" customHeight="1">
      <c r="A723" s="69" t="n"/>
      <c r="B723" s="69" t="n"/>
      <c r="C723" s="70" t="n"/>
      <c r="D723" s="69" t="n"/>
      <c r="E723" s="69" t="n"/>
      <c r="F723" s="69" t="n"/>
      <c r="G723" s="69" t="n"/>
      <c r="H723" s="69" t="n"/>
      <c r="I723" s="69" t="n"/>
      <c r="J723" s="74" t="n"/>
      <c r="K723" s="69" t="n"/>
      <c r="L723" s="18" t="n"/>
      <c r="M723" s="69" t="n"/>
      <c r="N723" s="58" t="n"/>
    </row>
    <row r="724" ht="57.75" customHeight="1">
      <c r="A724" s="69" t="n"/>
      <c r="B724" s="69" t="n"/>
      <c r="C724" s="70" t="n"/>
      <c r="D724" s="69" t="n"/>
      <c r="E724" s="69" t="n"/>
      <c r="F724" s="69" t="n"/>
      <c r="G724" s="69" t="n"/>
      <c r="H724" s="69" t="n"/>
      <c r="I724" s="69" t="n"/>
      <c r="J724" s="74" t="n"/>
      <c r="K724" s="69" t="n"/>
      <c r="L724" s="18" t="n"/>
      <c r="M724" s="69" t="n"/>
      <c r="N724" s="58" t="n"/>
    </row>
    <row r="725" ht="72.75" customHeight="1">
      <c r="A725" s="69" t="n"/>
      <c r="B725" s="69" t="n"/>
      <c r="C725" s="70" t="n"/>
      <c r="D725" s="69" t="n"/>
      <c r="E725" s="69" t="n"/>
      <c r="F725" s="69" t="n"/>
      <c r="G725" s="69" t="n"/>
      <c r="H725" s="69" t="n"/>
      <c r="I725" s="69" t="n"/>
      <c r="J725" s="74" t="n"/>
      <c r="K725" s="69" t="n"/>
      <c r="L725" s="18" t="n"/>
      <c r="M725" s="69" t="n"/>
      <c r="N725" s="58" t="n"/>
    </row>
    <row r="726" ht="87" customHeight="1">
      <c r="A726" s="69" t="n"/>
      <c r="B726" s="69" t="n"/>
      <c r="C726" s="70" t="n"/>
      <c r="D726" s="69" t="n"/>
      <c r="E726" s="69" t="n"/>
      <c r="F726" s="69" t="n"/>
      <c r="G726" s="69" t="n"/>
      <c r="H726" s="69" t="n"/>
      <c r="I726" s="69" t="n"/>
      <c r="J726" s="74" t="n"/>
      <c r="K726" s="69" t="n"/>
      <c r="L726" s="18" t="n"/>
      <c r="M726" s="69" t="n"/>
      <c r="N726" s="58" t="n"/>
    </row>
    <row r="727" ht="159" customHeight="1">
      <c r="A727" s="69" t="n"/>
      <c r="B727" s="69" t="n"/>
      <c r="C727" s="70" t="n"/>
      <c r="D727" s="69" t="n"/>
      <c r="E727" s="69" t="n"/>
      <c r="F727" s="69" t="n"/>
      <c r="G727" s="69" t="n"/>
      <c r="H727" s="69" t="n"/>
      <c r="I727" s="69" t="n"/>
      <c r="J727" s="74" t="n"/>
      <c r="K727" s="69" t="n"/>
      <c r="L727" s="18" t="n"/>
      <c r="M727" s="69" t="n"/>
      <c r="N727" s="58" t="n"/>
    </row>
    <row r="728" ht="174" customHeight="1">
      <c r="A728" s="69" t="n"/>
      <c r="B728" s="69" t="n"/>
      <c r="C728" s="70" t="n"/>
      <c r="D728" s="69" t="n"/>
      <c r="E728" s="69" t="n"/>
      <c r="F728" s="69" t="n"/>
      <c r="G728" s="69" t="n"/>
      <c r="H728" s="69" t="n"/>
      <c r="I728" s="69" t="n"/>
      <c r="J728" s="74" t="n"/>
      <c r="K728" s="69" t="n"/>
      <c r="L728" s="18" t="n"/>
      <c r="M728" s="69" t="n"/>
      <c r="N728" s="58" t="n"/>
    </row>
    <row r="729" ht="130.5" customHeight="1">
      <c r="A729" s="69" t="n"/>
      <c r="B729" s="69" t="n"/>
      <c r="C729" s="70" t="n"/>
      <c r="D729" s="69" t="n"/>
      <c r="E729" s="69" t="n"/>
      <c r="F729" s="69" t="n"/>
      <c r="G729" s="69" t="n"/>
      <c r="H729" s="69" t="n"/>
      <c r="I729" s="69" t="n"/>
      <c r="J729" s="74" t="n"/>
      <c r="K729" s="69" t="n"/>
      <c r="L729" s="18" t="n"/>
      <c r="M729" s="69" t="n"/>
      <c r="N729" s="58" t="n"/>
    </row>
    <row r="730" ht="130.5" customHeight="1">
      <c r="A730" s="69" t="n"/>
      <c r="B730" s="69" t="n"/>
      <c r="C730" s="70" t="n"/>
      <c r="D730" s="69" t="n"/>
      <c r="E730" s="69" t="n"/>
      <c r="F730" s="69" t="n"/>
      <c r="G730" s="69" t="n"/>
      <c r="H730" s="69" t="n"/>
      <c r="I730" s="69" t="n"/>
      <c r="J730" s="74" t="n"/>
      <c r="K730" s="69" t="n"/>
      <c r="L730" s="18" t="n"/>
      <c r="M730" s="69" t="n"/>
      <c r="N730" s="58" t="n"/>
    </row>
    <row r="731" ht="130.5" customHeight="1">
      <c r="A731" s="69" t="n"/>
      <c r="B731" s="69" t="n"/>
      <c r="C731" s="70" t="n"/>
      <c r="D731" s="69" t="n"/>
      <c r="E731" s="69" t="n"/>
      <c r="F731" s="69" t="n"/>
      <c r="G731" s="69" t="n"/>
      <c r="H731" s="69" t="n"/>
      <c r="I731" s="69" t="n"/>
      <c r="J731" s="74" t="n"/>
      <c r="K731" s="69" t="n"/>
      <c r="L731" s="18" t="n"/>
      <c r="M731" s="69" t="n"/>
      <c r="N731" s="58" t="n"/>
    </row>
    <row r="732" ht="57.75" customHeight="1">
      <c r="A732" s="69" t="n"/>
      <c r="B732" s="69" t="n"/>
      <c r="C732" s="70" t="n"/>
      <c r="D732" s="69" t="n"/>
      <c r="E732" s="69" t="n"/>
      <c r="F732" s="69" t="n"/>
      <c r="G732" s="69" t="n"/>
      <c r="H732" s="69" t="n"/>
      <c r="I732" s="69" t="n"/>
      <c r="J732" s="74" t="n"/>
      <c r="K732" s="69" t="n"/>
      <c r="L732" s="18" t="n"/>
      <c r="M732" s="69" t="n"/>
      <c r="N732" s="58" t="n"/>
    </row>
    <row r="733" ht="57.75" customHeight="1">
      <c r="A733" s="69" t="n"/>
      <c r="B733" s="69" t="n"/>
      <c r="C733" s="70" t="n"/>
      <c r="D733" s="69" t="n"/>
      <c r="E733" s="69" t="n"/>
      <c r="F733" s="69" t="n"/>
      <c r="G733" s="69" t="n"/>
      <c r="H733" s="69" t="n"/>
      <c r="I733" s="69" t="n"/>
      <c r="J733" s="74" t="n"/>
      <c r="K733" s="69" t="n"/>
      <c r="L733" s="18" t="n"/>
      <c r="M733" s="69" t="n"/>
      <c r="N733" s="58" t="n"/>
    </row>
    <row r="734" ht="201.75" customHeight="1">
      <c r="A734" s="69" t="n"/>
      <c r="B734" s="69" t="n"/>
      <c r="C734" s="70" t="n"/>
      <c r="D734" s="69" t="n"/>
      <c r="E734" s="69" t="n"/>
      <c r="F734" s="69" t="n"/>
      <c r="G734" s="69" t="n"/>
      <c r="H734" s="69" t="n"/>
      <c r="I734" s="69" t="n"/>
      <c r="J734" s="74" t="n"/>
      <c r="K734" s="69" t="n"/>
      <c r="L734" s="18" t="n"/>
      <c r="M734" s="69" t="n"/>
      <c r="N734" s="58" t="n"/>
    </row>
    <row r="735" ht="57.75" customHeight="1">
      <c r="A735" s="69" t="n"/>
      <c r="B735" s="69" t="n"/>
      <c r="C735" s="70" t="n"/>
      <c r="D735" s="69" t="n"/>
      <c r="E735" s="69" t="n"/>
      <c r="F735" s="69" t="n"/>
      <c r="G735" s="69" t="n"/>
      <c r="H735" s="69" t="n"/>
      <c r="I735" s="69" t="n"/>
      <c r="J735" s="74" t="n"/>
      <c r="K735" s="69" t="n"/>
      <c r="L735" s="18" t="n"/>
      <c r="M735" s="69" t="n"/>
      <c r="N735" s="58" t="n"/>
    </row>
    <row r="736" ht="144.75" customHeight="1">
      <c r="A736" s="69" t="n"/>
      <c r="B736" s="69" t="n"/>
      <c r="C736" s="70" t="n"/>
      <c r="D736" s="69" t="n"/>
      <c r="E736" s="69" t="n"/>
      <c r="F736" s="69" t="n"/>
      <c r="G736" s="69" t="n"/>
      <c r="H736" s="69" t="n"/>
      <c r="I736" s="69" t="n"/>
      <c r="J736" s="74" t="n"/>
      <c r="K736" s="69" t="n"/>
      <c r="L736" s="18" t="n"/>
      <c r="M736" s="69" t="n"/>
      <c r="N736" s="58" t="n"/>
    </row>
    <row r="737" ht="29.25" customHeight="1">
      <c r="A737" s="69" t="n"/>
      <c r="B737" s="69" t="n"/>
      <c r="C737" s="70" t="n"/>
      <c r="D737" s="69" t="n"/>
      <c r="E737" s="69" t="n"/>
      <c r="F737" s="69" t="n"/>
      <c r="G737" s="69" t="n"/>
      <c r="H737" s="69" t="n"/>
      <c r="I737" s="69" t="n"/>
      <c r="J737" s="74" t="n"/>
      <c r="K737" s="69" t="n"/>
      <c r="L737" s="18" t="n"/>
      <c r="M737" s="69" t="n"/>
      <c r="N737" s="58" t="n"/>
    </row>
    <row r="738" ht="101.25" customHeight="1">
      <c r="A738" s="69" t="n"/>
      <c r="B738" s="69" t="n"/>
      <c r="C738" s="70" t="n"/>
      <c r="D738" s="69" t="n"/>
      <c r="E738" s="69" t="n"/>
      <c r="F738" s="69" t="n"/>
      <c r="G738" s="69" t="n"/>
      <c r="H738" s="69" t="n"/>
      <c r="I738" s="69" t="n"/>
      <c r="J738" s="74" t="n"/>
      <c r="K738" s="69" t="n"/>
      <c r="L738" s="18" t="n"/>
      <c r="M738" s="69" t="n"/>
      <c r="N738" s="58" t="n"/>
    </row>
    <row r="739" ht="101.25" customHeight="1">
      <c r="A739" s="69" t="n"/>
      <c r="B739" s="69" t="n"/>
      <c r="C739" s="70" t="n"/>
      <c r="D739" s="69" t="n"/>
      <c r="E739" s="69" t="n"/>
      <c r="F739" s="69" t="n"/>
      <c r="G739" s="69" t="n"/>
      <c r="H739" s="69" t="n"/>
      <c r="I739" s="69" t="n"/>
      <c r="J739" s="74" t="n"/>
      <c r="K739" s="69" t="n"/>
      <c r="L739" s="18" t="n"/>
      <c r="M739" s="69" t="n"/>
      <c r="N739" s="58" t="n"/>
    </row>
    <row r="740" ht="174" customHeight="1">
      <c r="A740" s="69" t="n"/>
      <c r="B740" s="69" t="n"/>
      <c r="C740" s="70" t="n"/>
      <c r="D740" s="69" t="n"/>
      <c r="E740" s="69" t="n"/>
      <c r="F740" s="69" t="n"/>
      <c r="G740" s="69" t="n"/>
      <c r="H740" s="69" t="n"/>
      <c r="I740" s="69" t="n"/>
      <c r="J740" s="74" t="n"/>
      <c r="K740" s="69" t="n"/>
      <c r="L740" s="18" t="n"/>
      <c r="M740" s="69" t="n"/>
      <c r="N740" s="58" t="n"/>
    </row>
    <row r="741">
      <c r="A741" s="69" t="n"/>
      <c r="B741" s="69" t="n"/>
      <c r="C741" s="70" t="n"/>
      <c r="D741" s="69" t="n"/>
      <c r="E741" s="69" t="n"/>
      <c r="F741" s="69" t="n"/>
      <c r="G741" s="69" t="n"/>
      <c r="H741" s="69" t="n"/>
      <c r="I741" s="69" t="n"/>
      <c r="J741" s="74" t="n"/>
      <c r="K741" s="69" t="n"/>
      <c r="L741" s="18" t="n"/>
      <c r="M741" s="69" t="n"/>
      <c r="N741" s="58" t="n"/>
    </row>
    <row r="742" ht="144.75" customHeight="1">
      <c r="A742" s="69" t="n"/>
      <c r="B742" s="69" t="n"/>
      <c r="C742" s="70" t="n"/>
      <c r="D742" s="69" t="n"/>
      <c r="E742" s="69" t="n"/>
      <c r="F742" s="69" t="n"/>
      <c r="G742" s="69" t="n"/>
      <c r="H742" s="69" t="n"/>
      <c r="I742" s="69" t="n"/>
      <c r="J742" s="74" t="n"/>
      <c r="K742" s="69" t="n"/>
      <c r="L742" s="18" t="n"/>
      <c r="M742" s="69" t="n"/>
      <c r="N742" s="58" t="n"/>
    </row>
    <row r="743" ht="159" customHeight="1">
      <c r="A743" s="69" t="n"/>
      <c r="B743" s="69" t="n"/>
      <c r="C743" s="70" t="n"/>
      <c r="D743" s="69" t="n"/>
      <c r="E743" s="69" t="n"/>
      <c r="F743" s="69" t="n"/>
      <c r="G743" s="69" t="n"/>
      <c r="H743" s="69" t="n"/>
      <c r="I743" s="69" t="n"/>
      <c r="J743" s="74" t="n"/>
      <c r="K743" s="69" t="n"/>
      <c r="L743" s="18" t="n"/>
      <c r="M743" s="69" t="n"/>
      <c r="N743" s="58" t="n"/>
    </row>
    <row r="744" ht="159" customHeight="1">
      <c r="A744" s="69" t="n"/>
      <c r="B744" s="69" t="n"/>
      <c r="C744" s="70" t="n"/>
      <c r="D744" s="69" t="n"/>
      <c r="E744" s="69" t="n"/>
      <c r="F744" s="69" t="n"/>
      <c r="G744" s="69" t="n"/>
      <c r="H744" s="69" t="n"/>
      <c r="I744" s="69" t="n"/>
      <c r="J744" s="74" t="n"/>
      <c r="K744" s="69" t="n"/>
      <c r="L744" s="18" t="n"/>
      <c r="M744" s="69" t="n"/>
      <c r="N744" s="58" t="n"/>
    </row>
    <row r="745" ht="43.5" customHeight="1">
      <c r="A745" s="69" t="n"/>
      <c r="B745" s="69" t="n"/>
      <c r="C745" s="70" t="n"/>
      <c r="D745" s="69" t="n"/>
      <c r="E745" s="69" t="n"/>
      <c r="F745" s="69" t="n"/>
      <c r="G745" s="69" t="n"/>
      <c r="H745" s="69" t="n"/>
      <c r="I745" s="69" t="n"/>
      <c r="J745" s="74" t="n"/>
      <c r="K745" s="69" t="n"/>
      <c r="L745" s="18" t="n"/>
      <c r="M745" s="69" t="n"/>
      <c r="N745" s="58" t="n"/>
    </row>
    <row r="746">
      <c r="A746" s="69" t="n"/>
      <c r="B746" s="69" t="n"/>
      <c r="C746" s="70" t="n"/>
      <c r="D746" s="69" t="n"/>
      <c r="E746" s="69" t="n"/>
      <c r="F746" s="69" t="n"/>
      <c r="G746" s="69" t="n"/>
      <c r="H746" s="69" t="n"/>
      <c r="I746" s="69" t="n"/>
      <c r="J746" s="74" t="n"/>
      <c r="K746" s="69" t="n"/>
      <c r="L746" s="18" t="n"/>
      <c r="M746" s="69" t="n"/>
      <c r="N746" s="58" t="n"/>
    </row>
    <row r="747" ht="144.75" customHeight="1">
      <c r="A747" s="69" t="n"/>
      <c r="B747" s="69" t="n"/>
      <c r="C747" s="70" t="n"/>
      <c r="D747" s="69" t="n"/>
      <c r="E747" s="69" t="n"/>
      <c r="F747" s="69" t="n"/>
      <c r="G747" s="69" t="n"/>
      <c r="H747" s="69" t="n"/>
      <c r="I747" s="69" t="n"/>
      <c r="J747" s="74" t="n"/>
      <c r="K747" s="69" t="n"/>
      <c r="L747" s="18" t="n"/>
      <c r="M747" s="69" t="n"/>
      <c r="N747" s="58" t="n"/>
    </row>
    <row r="748" ht="159" customHeight="1">
      <c r="A748" s="69" t="n"/>
      <c r="B748" s="69" t="n"/>
      <c r="C748" s="70" t="n"/>
      <c r="D748" s="69" t="n"/>
      <c r="E748" s="69" t="n"/>
      <c r="F748" s="69" t="n"/>
      <c r="G748" s="69" t="n"/>
      <c r="H748" s="69" t="n"/>
      <c r="I748" s="69" t="n"/>
      <c r="J748" s="74" t="n"/>
      <c r="K748" s="69" t="n"/>
      <c r="L748" s="18" t="n"/>
      <c r="M748" s="69" t="n"/>
      <c r="N748" s="58" t="n"/>
    </row>
    <row r="749" ht="201.75" customHeight="1">
      <c r="A749" s="69" t="n"/>
      <c r="B749" s="69" t="n"/>
      <c r="C749" s="70" t="n"/>
      <c r="D749" s="69" t="n"/>
      <c r="E749" s="69" t="n"/>
      <c r="F749" s="69" t="n"/>
      <c r="G749" s="69" t="n"/>
      <c r="H749" s="69" t="n"/>
      <c r="I749" s="69" t="n"/>
      <c r="J749" s="74" t="n"/>
      <c r="K749" s="69" t="n"/>
      <c r="L749" s="18" t="n"/>
      <c r="M749" s="69" t="n"/>
      <c r="N749" s="58" t="n"/>
    </row>
    <row r="750" ht="159" customHeight="1">
      <c r="A750" s="69" t="n"/>
      <c r="B750" s="69" t="n"/>
      <c r="C750" s="70" t="n"/>
      <c r="D750" s="69" t="n"/>
      <c r="E750" s="69" t="n"/>
      <c r="F750" s="69" t="n"/>
      <c r="G750" s="69" t="n"/>
      <c r="H750" s="69" t="n"/>
      <c r="I750" s="69" t="n"/>
      <c r="J750" s="74" t="n"/>
      <c r="K750" s="69" t="n"/>
      <c r="L750" s="18" t="n"/>
      <c r="M750" s="69" t="n"/>
      <c r="N750" s="58" t="n"/>
    </row>
    <row r="751" ht="201.75" customHeight="1">
      <c r="A751" s="69" t="n"/>
      <c r="B751" s="69" t="n"/>
      <c r="C751" s="70" t="n"/>
      <c r="D751" s="69" t="n"/>
      <c r="E751" s="69" t="n"/>
      <c r="F751" s="69" t="n"/>
      <c r="G751" s="69" t="n"/>
      <c r="H751" s="69" t="n"/>
      <c r="I751" s="69" t="n"/>
      <c r="J751" s="74" t="n"/>
      <c r="K751" s="69" t="n"/>
      <c r="L751" s="18" t="n"/>
      <c r="M751" s="69" t="n"/>
      <c r="N751" s="58" t="n"/>
    </row>
    <row r="752" ht="201.75" customHeight="1">
      <c r="A752" s="69" t="n"/>
      <c r="B752" s="69" t="n"/>
      <c r="C752" s="70" t="n"/>
      <c r="D752" s="69" t="n"/>
      <c r="E752" s="69" t="n"/>
      <c r="F752" s="69" t="n"/>
      <c r="G752" s="69" t="n"/>
      <c r="H752" s="69" t="n"/>
      <c r="I752" s="69" t="n"/>
      <c r="J752" s="74" t="n"/>
      <c r="K752" s="69" t="n"/>
      <c r="L752" s="18" t="n"/>
      <c r="M752" s="69" t="n"/>
      <c r="N752" s="58" t="n"/>
    </row>
    <row r="753" ht="87" customHeight="1">
      <c r="A753" s="69" t="n"/>
      <c r="B753" s="69" t="n"/>
      <c r="C753" s="70" t="n"/>
      <c r="D753" s="69" t="n"/>
      <c r="E753" s="69" t="n"/>
      <c r="F753" s="69" t="n"/>
      <c r="G753" s="69" t="n"/>
      <c r="H753" s="69" t="n"/>
      <c r="I753" s="69" t="n"/>
      <c r="J753" s="74" t="n"/>
      <c r="K753" s="69" t="n"/>
      <c r="L753" s="18" t="n"/>
      <c r="M753" s="69" t="n"/>
      <c r="N753" s="58" t="n"/>
    </row>
    <row r="754" ht="174" customHeight="1">
      <c r="A754" s="69" t="n"/>
      <c r="B754" s="69" t="n"/>
      <c r="C754" s="70" t="n"/>
      <c r="D754" s="69" t="n"/>
      <c r="E754" s="69" t="n"/>
      <c r="F754" s="69" t="n"/>
      <c r="G754" s="69" t="n"/>
      <c r="H754" s="69" t="n"/>
      <c r="I754" s="69" t="n"/>
      <c r="J754" s="74" t="n"/>
      <c r="K754" s="69" t="n"/>
      <c r="L754" s="18" t="n"/>
      <c r="M754" s="69" t="n"/>
      <c r="N754" s="58" t="n"/>
    </row>
    <row r="755" ht="29.25" customHeight="1">
      <c r="A755" s="69" t="n"/>
      <c r="B755" s="69" t="n"/>
      <c r="C755" s="70" t="n"/>
      <c r="D755" s="69" t="n"/>
      <c r="E755" s="69" t="n"/>
      <c r="F755" s="69" t="n"/>
      <c r="G755" s="69" t="n"/>
      <c r="H755" s="69" t="n"/>
      <c r="I755" s="69" t="n"/>
      <c r="J755" s="74" t="n"/>
      <c r="K755" s="69" t="n"/>
      <c r="L755" s="18" t="n"/>
      <c r="M755" s="69" t="n"/>
      <c r="N755" s="58" t="n"/>
    </row>
    <row r="756">
      <c r="A756" s="69" t="n"/>
      <c r="B756" s="69" t="n"/>
      <c r="C756" s="70" t="n"/>
      <c r="D756" s="69" t="n"/>
      <c r="E756" s="69" t="n"/>
      <c r="F756" s="69" t="n"/>
      <c r="G756" s="69" t="n"/>
      <c r="H756" s="69" t="n"/>
      <c r="I756" s="69" t="n"/>
      <c r="J756" s="74" t="n"/>
      <c r="K756" s="69" t="n"/>
      <c r="L756" s="18" t="n"/>
      <c r="M756" s="69" t="n"/>
      <c r="N756" s="58" t="n"/>
    </row>
    <row r="757" ht="29.25" customHeight="1">
      <c r="A757" s="69" t="n"/>
      <c r="B757" s="69" t="n"/>
      <c r="C757" s="70" t="n"/>
      <c r="D757" s="69" t="n"/>
      <c r="E757" s="69" t="n"/>
      <c r="F757" s="69" t="n"/>
      <c r="G757" s="69" t="n"/>
      <c r="H757" s="69" t="n"/>
      <c r="I757" s="69" t="n"/>
      <c r="J757" s="74" t="n"/>
      <c r="K757" s="69" t="n"/>
      <c r="L757" s="18" t="n"/>
      <c r="M757" s="69" t="n"/>
      <c r="N757" s="58" t="n"/>
    </row>
    <row r="758" ht="87" customHeight="1">
      <c r="A758" s="69" t="n"/>
      <c r="B758" s="69" t="n"/>
      <c r="C758" s="70" t="n"/>
      <c r="D758" s="69" t="n"/>
      <c r="E758" s="69" t="n"/>
      <c r="F758" s="69" t="n"/>
      <c r="G758" s="69" t="n"/>
      <c r="H758" s="69" t="n"/>
      <c r="I758" s="69" t="n"/>
      <c r="J758" s="74" t="n"/>
      <c r="K758" s="69" t="n"/>
      <c r="L758" s="18" t="n"/>
      <c r="M758" s="69" t="n"/>
      <c r="N758" s="58" t="n"/>
    </row>
    <row r="759" ht="130.5" customHeight="1">
      <c r="A759" s="69" t="n"/>
      <c r="B759" s="69" t="n"/>
      <c r="C759" s="70" t="n"/>
      <c r="D759" s="69" t="n"/>
      <c r="E759" s="69" t="n"/>
      <c r="F759" s="69" t="n"/>
      <c r="G759" s="69" t="n"/>
      <c r="H759" s="69" t="n"/>
      <c r="I759" s="69" t="n"/>
      <c r="J759" s="74" t="n"/>
      <c r="K759" s="69" t="n"/>
      <c r="L759" s="18" t="n"/>
      <c r="M759" s="69" t="n"/>
      <c r="N759" s="58" t="n"/>
    </row>
    <row r="760" ht="130.5" customHeight="1">
      <c r="A760" s="69" t="n"/>
      <c r="B760" s="69" t="n"/>
      <c r="C760" s="70" t="n"/>
      <c r="D760" s="69" t="n"/>
      <c r="E760" s="69" t="n"/>
      <c r="F760" s="69" t="n"/>
      <c r="G760" s="69" t="n"/>
      <c r="H760" s="69" t="n"/>
      <c r="I760" s="69" t="n"/>
      <c r="J760" s="74" t="n"/>
      <c r="K760" s="69" t="n"/>
      <c r="L760" s="18" t="n"/>
      <c r="M760" s="69" t="n"/>
      <c r="N760" s="58" t="n"/>
    </row>
    <row r="761" ht="29.25" customHeight="1">
      <c r="A761" s="69" t="n"/>
      <c r="B761" s="69" t="n"/>
      <c r="C761" s="70" t="n"/>
      <c r="D761" s="69" t="n"/>
      <c r="E761" s="69" t="n"/>
      <c r="F761" s="69" t="n"/>
      <c r="G761" s="69" t="n"/>
      <c r="H761" s="69" t="n"/>
      <c r="I761" s="69" t="n"/>
      <c r="J761" s="74" t="n"/>
      <c r="K761" s="69" t="n"/>
      <c r="L761" s="18" t="n"/>
      <c r="M761" s="69" t="n"/>
      <c r="N761" s="58" t="n"/>
    </row>
    <row r="762" ht="43.5" customHeight="1">
      <c r="A762" s="69" t="n"/>
      <c r="B762" s="69" t="n"/>
      <c r="C762" s="70" t="n"/>
      <c r="D762" s="69" t="n"/>
      <c r="E762" s="69" t="n"/>
      <c r="F762" s="69" t="n"/>
      <c r="G762" s="69" t="n"/>
      <c r="H762" s="69" t="n"/>
      <c r="I762" s="69" t="n"/>
      <c r="J762" s="74" t="n"/>
      <c r="K762" s="69" t="n"/>
      <c r="L762" s="18" t="n"/>
      <c r="M762" s="69" t="n"/>
      <c r="N762" s="58" t="n"/>
    </row>
    <row r="763" ht="159" customHeight="1">
      <c r="A763" s="63" t="n"/>
      <c r="B763" s="63" t="n"/>
      <c r="C763" s="64" t="n"/>
      <c r="D763" s="63" t="n"/>
      <c r="E763" s="63" t="n"/>
      <c r="F763" s="63" t="n"/>
      <c r="G763" s="63" t="n"/>
      <c r="H763" s="63" t="n"/>
      <c r="I763" s="63" t="n"/>
      <c r="J763" s="74" t="n"/>
      <c r="K763" s="63" t="n"/>
      <c r="L763" s="15" t="n"/>
      <c r="M763" s="63" t="n"/>
      <c r="N763" s="16" t="n"/>
    </row>
    <row r="764" ht="159" customHeight="1">
      <c r="A764" s="69" t="n"/>
      <c r="B764" s="69" t="n"/>
      <c r="C764" s="70" t="n"/>
      <c r="D764" s="69" t="n"/>
      <c r="E764" s="69" t="n"/>
      <c r="F764" s="69" t="n"/>
      <c r="G764" s="69" t="n"/>
      <c r="H764" s="69" t="n"/>
      <c r="I764" s="69" t="n"/>
      <c r="J764" s="74" t="n"/>
      <c r="K764" s="69" t="n"/>
      <c r="L764" s="18" t="n"/>
      <c r="M764" s="69" t="n"/>
      <c r="N764" s="58" t="n"/>
    </row>
    <row r="765" ht="159" customHeight="1">
      <c r="A765" s="69" t="n"/>
      <c r="B765" s="69" t="n"/>
      <c r="C765" s="70" t="n"/>
      <c r="D765" s="69" t="n"/>
      <c r="E765" s="69" t="n"/>
      <c r="F765" s="69" t="n"/>
      <c r="G765" s="69" t="n"/>
      <c r="H765" s="69" t="n"/>
      <c r="I765" s="69" t="n"/>
      <c r="J765" s="74" t="n"/>
      <c r="K765" s="69" t="n"/>
      <c r="L765" s="18" t="n"/>
      <c r="M765" s="69" t="n"/>
      <c r="N765" s="58" t="n"/>
    </row>
    <row r="766" ht="159" customHeight="1">
      <c r="A766" s="69" t="n"/>
      <c r="B766" s="69" t="n"/>
      <c r="C766" s="70" t="n"/>
      <c r="D766" s="69" t="n"/>
      <c r="E766" s="69" t="n"/>
      <c r="F766" s="69" t="n"/>
      <c r="G766" s="69" t="n"/>
      <c r="H766" s="69" t="n"/>
      <c r="I766" s="69" t="n"/>
      <c r="J766" s="74" t="n"/>
      <c r="K766" s="69" t="n"/>
      <c r="L766" s="18" t="n"/>
      <c r="M766" s="69" t="n"/>
      <c r="N766" s="58" t="n"/>
    </row>
    <row r="767" ht="174" customHeight="1">
      <c r="A767" s="69" t="n"/>
      <c r="B767" s="69" t="n"/>
      <c r="C767" s="70" t="n"/>
      <c r="D767" s="69" t="n"/>
      <c r="E767" s="69" t="n"/>
      <c r="F767" s="69" t="n"/>
      <c r="G767" s="69" t="n"/>
      <c r="H767" s="69" t="n"/>
      <c r="I767" s="69" t="n"/>
      <c r="J767" s="74" t="n"/>
      <c r="K767" s="69" t="n"/>
      <c r="L767" s="18" t="n"/>
      <c r="M767" s="69" t="n"/>
      <c r="N767" s="58" t="n"/>
    </row>
    <row r="768" ht="159" customHeight="1">
      <c r="A768" s="69" t="n"/>
      <c r="B768" s="69" t="n"/>
      <c r="C768" s="70" t="n"/>
      <c r="D768" s="69" t="n"/>
      <c r="E768" s="69" t="n"/>
      <c r="F768" s="69" t="n"/>
      <c r="G768" s="69" t="n"/>
      <c r="H768" s="69" t="n"/>
      <c r="I768" s="69" t="n"/>
      <c r="J768" s="74" t="n"/>
      <c r="K768" s="69" t="n"/>
      <c r="L768" s="18" t="n"/>
      <c r="M768" s="69" t="n"/>
      <c r="N768" s="58" t="n"/>
    </row>
    <row r="769" ht="159" customHeight="1">
      <c r="A769" s="69" t="n"/>
      <c r="B769" s="69" t="n"/>
      <c r="C769" s="70" t="n"/>
      <c r="D769" s="69" t="n"/>
      <c r="E769" s="69" t="n"/>
      <c r="F769" s="69" t="n"/>
      <c r="G769" s="69" t="n"/>
      <c r="H769" s="69" t="n"/>
      <c r="I769" s="69" t="n"/>
      <c r="J769" s="74" t="n"/>
      <c r="K769" s="69" t="n"/>
      <c r="L769" s="18" t="n"/>
      <c r="M769" s="69" t="n"/>
      <c r="N769" s="58" t="n"/>
    </row>
    <row r="770" ht="72.75" customHeight="1">
      <c r="A770" s="69" t="n"/>
      <c r="B770" s="69" t="n"/>
      <c r="C770" s="70" t="n"/>
      <c r="D770" s="69" t="n"/>
      <c r="E770" s="69" t="n"/>
      <c r="F770" s="69" t="n"/>
      <c r="G770" s="69" t="n"/>
      <c r="H770" s="69" t="n"/>
      <c r="I770" s="69" t="n"/>
      <c r="J770" s="74" t="n"/>
      <c r="K770" s="69" t="n"/>
      <c r="L770" s="18" t="n"/>
      <c r="M770" s="69" t="n"/>
      <c r="N770" s="58" t="n"/>
    </row>
    <row r="771" ht="43.5" customHeight="1">
      <c r="A771" s="69" t="n"/>
      <c r="B771" s="69" t="n"/>
      <c r="C771" s="70" t="n"/>
      <c r="D771" s="69" t="n"/>
      <c r="E771" s="69" t="n"/>
      <c r="F771" s="69" t="n"/>
      <c r="G771" s="69" t="n"/>
      <c r="H771" s="69" t="n"/>
      <c r="I771" s="69" t="n"/>
      <c r="J771" s="74" t="n"/>
      <c r="K771" s="69" t="n"/>
      <c r="L771" s="18" t="n"/>
      <c r="M771" s="69" t="n"/>
      <c r="N771" s="58" t="n"/>
    </row>
    <row r="772" ht="87" customHeight="1">
      <c r="A772" s="69" t="n"/>
      <c r="B772" s="69" t="n"/>
      <c r="C772" s="70" t="n"/>
      <c r="D772" s="69" t="n"/>
      <c r="E772" s="69" t="n"/>
      <c r="F772" s="69" t="n"/>
      <c r="G772" s="69" t="n"/>
      <c r="H772" s="69" t="n"/>
      <c r="I772" s="69" t="n"/>
      <c r="J772" s="74" t="n"/>
      <c r="K772" s="69" t="n"/>
      <c r="L772" s="18" t="n"/>
      <c r="M772" s="69" t="n"/>
      <c r="N772" s="58" t="n"/>
    </row>
    <row r="773">
      <c r="A773" s="69" t="n"/>
      <c r="B773" s="69" t="n"/>
      <c r="C773" s="70" t="n"/>
      <c r="D773" s="69" t="n"/>
      <c r="E773" s="69" t="n"/>
      <c r="F773" s="69" t="n"/>
      <c r="G773" s="69" t="n"/>
      <c r="H773" s="69" t="n"/>
      <c r="I773" s="69" t="n"/>
      <c r="J773" s="74" t="n"/>
      <c r="K773" s="69" t="n"/>
      <c r="L773" s="18" t="n"/>
      <c r="M773" s="69" t="n"/>
      <c r="N773" s="58" t="n"/>
    </row>
    <row r="774" ht="115.5" customHeight="1">
      <c r="A774" s="69" t="n"/>
      <c r="B774" s="69" t="n"/>
      <c r="C774" s="70" t="n"/>
      <c r="D774" s="69" t="n"/>
      <c r="E774" s="69" t="n"/>
      <c r="F774" s="69" t="n"/>
      <c r="G774" s="69" t="n"/>
      <c r="H774" s="69" t="n"/>
      <c r="I774" s="69" t="n"/>
      <c r="J774" s="74" t="n"/>
      <c r="K774" s="69" t="n"/>
      <c r="L774" s="18" t="n"/>
      <c r="M774" s="69" t="n"/>
      <c r="N774" s="58" t="n"/>
    </row>
    <row r="775" ht="43.5" customHeight="1">
      <c r="A775" s="69" t="n"/>
      <c r="B775" s="69" t="n"/>
      <c r="C775" s="70" t="n"/>
      <c r="D775" s="69" t="n"/>
      <c r="E775" s="69" t="n"/>
      <c r="F775" s="69" t="n"/>
      <c r="G775" s="69" t="n"/>
      <c r="H775" s="69" t="n"/>
      <c r="I775" s="69" t="n"/>
      <c r="J775" s="74" t="n"/>
      <c r="K775" s="69" t="n"/>
      <c r="L775" s="18" t="n"/>
      <c r="M775" s="69" t="n"/>
      <c r="N775" s="58" t="n"/>
    </row>
    <row r="776" ht="43.5" customHeight="1">
      <c r="A776" s="69" t="n"/>
      <c r="B776" s="69" t="n"/>
      <c r="C776" s="70" t="n"/>
      <c r="D776" s="69" t="n"/>
      <c r="E776" s="69" t="n"/>
      <c r="F776" s="69" t="n"/>
      <c r="G776" s="69" t="n"/>
      <c r="H776" s="69" t="n"/>
      <c r="I776" s="69" t="n"/>
      <c r="J776" s="74" t="n"/>
      <c r="K776" s="69" t="n"/>
      <c r="L776" s="18" t="n"/>
      <c r="M776" s="69" t="n"/>
      <c r="N776" s="58" t="n"/>
    </row>
    <row r="777" ht="43.5" customHeight="1">
      <c r="A777" s="69" t="n"/>
      <c r="B777" s="69" t="n"/>
      <c r="C777" s="70" t="n"/>
      <c r="D777" s="69" t="n"/>
      <c r="E777" s="69" t="n"/>
      <c r="F777" s="69" t="n"/>
      <c r="G777" s="69" t="n"/>
      <c r="H777" s="69" t="n"/>
      <c r="I777" s="69" t="n"/>
      <c r="J777" s="74" t="n"/>
      <c r="K777" s="69" t="n"/>
      <c r="L777" s="18" t="n"/>
      <c r="M777" s="69" t="n"/>
      <c r="N777" s="58" t="n"/>
    </row>
    <row r="778">
      <c r="A778" s="69" t="n"/>
      <c r="B778" s="69" t="n"/>
      <c r="C778" s="70" t="n"/>
      <c r="D778" s="69" t="n"/>
      <c r="E778" s="69" t="n"/>
      <c r="F778" s="69" t="n"/>
      <c r="G778" s="69" t="n"/>
      <c r="H778" s="69" t="n"/>
      <c r="I778" s="69" t="n"/>
      <c r="J778" s="74" t="n"/>
      <c r="K778" s="69" t="n"/>
      <c r="L778" s="18" t="n"/>
      <c r="M778" s="69" t="n"/>
      <c r="N778" s="58" t="n"/>
    </row>
    <row r="779">
      <c r="A779" s="69" t="n"/>
      <c r="B779" s="69" t="n"/>
      <c r="C779" s="70" t="n"/>
      <c r="D779" s="69" t="n"/>
      <c r="E779" s="69" t="n"/>
      <c r="F779" s="69" t="n"/>
      <c r="G779" s="69" t="n"/>
      <c r="H779" s="69" t="n"/>
      <c r="I779" s="69" t="n"/>
      <c r="J779" s="74" t="n"/>
      <c r="K779" s="69" t="n"/>
      <c r="L779" s="18" t="n"/>
      <c r="M779" s="69" t="n"/>
      <c r="N779" s="58" t="n"/>
    </row>
    <row r="780" ht="43.5" customHeight="1">
      <c r="A780" s="69" t="n"/>
      <c r="B780" s="69" t="n"/>
      <c r="C780" s="70" t="n"/>
      <c r="D780" s="69" t="n"/>
      <c r="E780" s="69" t="n"/>
      <c r="F780" s="69" t="n"/>
      <c r="G780" s="69" t="n"/>
      <c r="H780" s="69" t="n"/>
      <c r="I780" s="69" t="n"/>
      <c r="J780" s="74" t="n"/>
      <c r="K780" s="69" t="n"/>
      <c r="L780" s="18" t="n"/>
      <c r="M780" s="69" t="n"/>
      <c r="N780" s="58" t="n"/>
    </row>
    <row r="781" ht="174" customHeight="1">
      <c r="A781" s="69" t="n"/>
      <c r="B781" s="69" t="n"/>
      <c r="C781" s="70" t="n"/>
      <c r="D781" s="69" t="n"/>
      <c r="E781" s="69" t="n"/>
      <c r="F781" s="69" t="n"/>
      <c r="G781" s="69" t="n"/>
      <c r="H781" s="69" t="n"/>
      <c r="I781" s="69" t="n"/>
      <c r="J781" s="74" t="n"/>
      <c r="K781" s="69" t="n"/>
      <c r="L781" s="18" t="n"/>
      <c r="M781" s="69" t="n"/>
      <c r="N781" s="58" t="n"/>
    </row>
    <row r="782" ht="43.5" customHeight="1">
      <c r="A782" s="69" t="n"/>
      <c r="B782" s="69" t="n"/>
      <c r="C782" s="70" t="n"/>
      <c r="D782" s="69" t="n"/>
      <c r="E782" s="69" t="n"/>
      <c r="F782" s="69" t="n"/>
      <c r="G782" s="69" t="n"/>
      <c r="H782" s="69" t="n"/>
      <c r="I782" s="69" t="n"/>
      <c r="J782" s="74" t="n"/>
      <c r="K782" s="69" t="n"/>
      <c r="L782" s="18" t="n"/>
      <c r="M782" s="69" t="n"/>
      <c r="N782" s="58" t="n"/>
    </row>
    <row r="783" ht="43.5" customHeight="1">
      <c r="A783" s="69" t="n"/>
      <c r="B783" s="69" t="n"/>
      <c r="C783" s="70" t="n"/>
      <c r="D783" s="69" t="n"/>
      <c r="E783" s="69" t="n"/>
      <c r="F783" s="69" t="n"/>
      <c r="G783" s="69" t="n"/>
      <c r="H783" s="69" t="n"/>
      <c r="I783" s="69" t="n"/>
      <c r="J783" s="74" t="n"/>
      <c r="K783" s="69" t="n"/>
      <c r="L783" s="18" t="n"/>
      <c r="M783" s="69" t="n"/>
      <c r="N783" s="58" t="n"/>
    </row>
    <row r="784">
      <c r="A784" s="69" t="n"/>
      <c r="B784" s="69" t="n"/>
      <c r="C784" s="70" t="n"/>
      <c r="D784" s="69" t="n"/>
      <c r="E784" s="69" t="n"/>
      <c r="F784" s="69" t="n"/>
      <c r="G784" s="69" t="n"/>
      <c r="H784" s="69" t="n"/>
      <c r="I784" s="69" t="n"/>
      <c r="J784" s="74" t="n"/>
      <c r="K784" s="69" t="n"/>
      <c r="L784" s="18" t="n"/>
      <c r="M784" s="69" t="n"/>
      <c r="N784" s="58" t="n"/>
    </row>
    <row r="785" ht="130.5" customHeight="1">
      <c r="A785" s="69" t="n"/>
      <c r="B785" s="69" t="n"/>
      <c r="C785" s="70" t="n"/>
      <c r="D785" s="69" t="n"/>
      <c r="E785" s="69" t="n"/>
      <c r="F785" s="69" t="n"/>
      <c r="G785" s="69" t="n"/>
      <c r="H785" s="69" t="n"/>
      <c r="I785" s="69" t="n"/>
      <c r="J785" s="74" t="n"/>
      <c r="K785" s="69" t="n"/>
      <c r="L785" s="18" t="n"/>
      <c r="M785" s="69" t="n"/>
      <c r="N785" s="58" t="n"/>
    </row>
    <row r="786" ht="57.75" customHeight="1">
      <c r="A786" s="69" t="n"/>
      <c r="B786" s="69" t="n"/>
      <c r="C786" s="70" t="n"/>
      <c r="D786" s="69" t="n"/>
      <c r="E786" s="69" t="n"/>
      <c r="F786" s="69" t="n"/>
      <c r="G786" s="69" t="n"/>
      <c r="H786" s="69" t="n"/>
      <c r="I786" s="69" t="n"/>
      <c r="J786" s="74" t="n"/>
      <c r="K786" s="69" t="n"/>
      <c r="L786" s="18" t="n"/>
      <c r="M786" s="69" t="n"/>
      <c r="N786" s="58" t="n"/>
    </row>
    <row r="787" ht="144.75" customHeight="1">
      <c r="A787" s="69" t="n"/>
      <c r="B787" s="69" t="n"/>
      <c r="C787" s="70" t="n"/>
      <c r="D787" s="69" t="n"/>
      <c r="E787" s="69" t="n"/>
      <c r="F787" s="69" t="n"/>
      <c r="G787" s="69" t="n"/>
      <c r="H787" s="69" t="n"/>
      <c r="I787" s="69" t="n"/>
      <c r="J787" s="74" t="n"/>
      <c r="K787" s="69" t="n"/>
      <c r="L787" s="18" t="n"/>
      <c r="M787" s="69" t="n"/>
      <c r="N787" s="58" t="n"/>
    </row>
    <row r="788" ht="144.75" customHeight="1">
      <c r="A788" s="69" t="n"/>
      <c r="B788" s="69" t="n"/>
      <c r="C788" s="70" t="n"/>
      <c r="D788" s="69" t="n"/>
      <c r="E788" s="69" t="n"/>
      <c r="F788" s="69" t="n"/>
      <c r="G788" s="69" t="n"/>
      <c r="H788" s="69" t="n"/>
      <c r="I788" s="69" t="n"/>
      <c r="J788" s="74" t="n"/>
      <c r="K788" s="69" t="n"/>
      <c r="L788" s="18" t="n"/>
      <c r="M788" s="69" t="n"/>
      <c r="N788" s="58" t="n"/>
    </row>
    <row r="789" ht="274.5" customHeight="1">
      <c r="A789" s="69" t="n"/>
      <c r="B789" s="69" t="n"/>
      <c r="C789" s="70" t="n"/>
      <c r="D789" s="69" t="n"/>
      <c r="E789" s="69" t="n"/>
      <c r="F789" s="69" t="n"/>
      <c r="G789" s="69" t="n"/>
      <c r="H789" s="69" t="n"/>
      <c r="I789" s="69" t="n"/>
      <c r="J789" s="74" t="n"/>
      <c r="K789" s="69" t="n"/>
      <c r="L789" s="18" t="n"/>
      <c r="M789" s="69" t="n"/>
      <c r="N789" s="58" t="n"/>
    </row>
    <row r="790" ht="274.5" customHeight="1">
      <c r="A790" s="69" t="n"/>
      <c r="B790" s="69" t="n"/>
      <c r="C790" s="70" t="n"/>
      <c r="D790" s="69" t="n"/>
      <c r="E790" s="69" t="n"/>
      <c r="F790" s="69" t="n"/>
      <c r="G790" s="69" t="n"/>
      <c r="H790" s="69" t="n"/>
      <c r="I790" s="69" t="n"/>
      <c r="J790" s="74" t="n"/>
      <c r="K790" s="69" t="n"/>
      <c r="L790" s="18" t="n"/>
      <c r="M790" s="69" t="n"/>
      <c r="N790" s="58" t="n"/>
    </row>
    <row r="791" ht="144.75" customHeight="1">
      <c r="A791" s="69" t="n"/>
      <c r="B791" s="69" t="n"/>
      <c r="C791" s="70" t="n"/>
      <c r="D791" s="69" t="n"/>
      <c r="E791" s="69" t="n"/>
      <c r="F791" s="69" t="n"/>
      <c r="G791" s="69" t="n"/>
      <c r="H791" s="69" t="n"/>
      <c r="I791" s="69" t="n"/>
      <c r="J791" s="74" t="n"/>
      <c r="K791" s="69" t="n"/>
      <c r="L791" s="18" t="n"/>
      <c r="M791" s="69" t="n"/>
      <c r="N791" s="58" t="n"/>
    </row>
    <row r="792" ht="29.25" customHeight="1">
      <c r="A792" s="69" t="n"/>
      <c r="B792" s="69" t="n"/>
      <c r="C792" s="70" t="n"/>
      <c r="D792" s="69" t="n"/>
      <c r="E792" s="69" t="n"/>
      <c r="F792" s="69" t="n"/>
      <c r="G792" s="69" t="n"/>
      <c r="H792" s="69" t="n"/>
      <c r="I792" s="69" t="n"/>
      <c r="J792" s="74" t="n"/>
      <c r="K792" s="69" t="n"/>
      <c r="L792" s="18" t="n"/>
      <c r="M792" s="69" t="n"/>
      <c r="N792" s="58" t="n"/>
    </row>
    <row r="793">
      <c r="A793" s="69" t="n"/>
      <c r="B793" s="69" t="n"/>
      <c r="C793" s="70" t="n"/>
      <c r="D793" s="69" t="n"/>
      <c r="E793" s="69" t="n"/>
      <c r="F793" s="69" t="n"/>
      <c r="G793" s="69" t="n"/>
      <c r="H793" s="69" t="n"/>
      <c r="I793" s="69" t="n"/>
      <c r="J793" s="74" t="n"/>
      <c r="K793" s="69" t="n"/>
      <c r="L793" s="18" t="n"/>
      <c r="M793" s="69" t="n"/>
      <c r="N793" s="58" t="n"/>
    </row>
    <row r="794" ht="43.5" customHeight="1">
      <c r="A794" s="69" t="n"/>
      <c r="B794" s="69" t="n"/>
      <c r="C794" s="70" t="n"/>
      <c r="D794" s="69" t="n"/>
      <c r="E794" s="69" t="n"/>
      <c r="F794" s="69" t="n"/>
      <c r="G794" s="69" t="n"/>
      <c r="H794" s="69" t="n"/>
      <c r="I794" s="69" t="n"/>
      <c r="J794" s="74" t="n"/>
      <c r="K794" s="69" t="n"/>
      <c r="L794" s="18" t="n"/>
      <c r="M794" s="69" t="n"/>
      <c r="N794" s="58" t="n"/>
    </row>
    <row r="795">
      <c r="A795" s="69" t="n"/>
      <c r="B795" s="69" t="n"/>
      <c r="C795" s="70" t="n"/>
      <c r="D795" s="69" t="n"/>
      <c r="E795" s="69" t="n"/>
      <c r="F795" s="69" t="n"/>
      <c r="G795" s="69" t="n"/>
      <c r="H795" s="69" t="n"/>
      <c r="I795" s="69" t="n"/>
      <c r="J795" s="74" t="n"/>
      <c r="K795" s="69" t="n"/>
      <c r="L795" s="18" t="n"/>
      <c r="M795" s="69" t="n"/>
      <c r="N795" s="58" t="n"/>
    </row>
    <row r="796">
      <c r="A796" s="69" t="n"/>
      <c r="B796" s="69" t="n"/>
      <c r="C796" s="70" t="n"/>
      <c r="D796" s="69" t="n"/>
      <c r="E796" s="69" t="n"/>
      <c r="F796" s="69" t="n"/>
      <c r="G796" s="69" t="n"/>
      <c r="H796" s="69" t="n"/>
      <c r="I796" s="69" t="n"/>
      <c r="J796" s="74" t="n"/>
      <c r="K796" s="69" t="n"/>
      <c r="L796" s="18" t="n"/>
      <c r="M796" s="69" t="n"/>
      <c r="N796" s="58" t="n"/>
    </row>
    <row r="797" ht="29.25" customHeight="1">
      <c r="A797" s="69" t="n"/>
      <c r="B797" s="69" t="n"/>
      <c r="C797" s="70" t="n"/>
      <c r="D797" s="69" t="n"/>
      <c r="E797" s="69" t="n"/>
      <c r="F797" s="69" t="n"/>
      <c r="G797" s="69" t="n"/>
      <c r="H797" s="69" t="n"/>
      <c r="I797" s="69" t="n"/>
      <c r="J797" s="74" t="n"/>
      <c r="K797" s="69" t="n"/>
      <c r="L797" s="18" t="n"/>
      <c r="M797" s="69" t="n"/>
      <c r="N797" s="58" t="n"/>
    </row>
    <row r="798" ht="216.75" customHeight="1">
      <c r="A798" s="69" t="n"/>
      <c r="B798" s="69" t="n"/>
      <c r="C798" s="70" t="n"/>
      <c r="D798" s="69" t="n"/>
      <c r="E798" s="69" t="n"/>
      <c r="F798" s="69" t="n"/>
      <c r="G798" s="69" t="n"/>
      <c r="H798" s="69" t="n"/>
      <c r="I798" s="69" t="n"/>
      <c r="J798" s="74" t="n"/>
      <c r="K798" s="69" t="n"/>
      <c r="L798" s="18" t="n"/>
      <c r="M798" s="69" t="n"/>
      <c r="N798" s="58" t="n"/>
    </row>
    <row r="799" ht="101.25" customHeight="1">
      <c r="A799" s="69" t="n"/>
      <c r="B799" s="69" t="n"/>
      <c r="C799" s="70" t="n"/>
      <c r="D799" s="69" t="n"/>
      <c r="E799" s="69" t="n"/>
      <c r="F799" s="69" t="n"/>
      <c r="G799" s="69" t="n"/>
      <c r="H799" s="69" t="n"/>
      <c r="I799" s="69" t="n"/>
      <c r="J799" s="74" t="n"/>
      <c r="K799" s="69" t="n"/>
      <c r="L799" s="18" t="n"/>
      <c r="M799" s="69" t="n"/>
      <c r="N799" s="58" t="n"/>
    </row>
    <row r="800" ht="101.25" customHeight="1">
      <c r="A800" s="69" t="n"/>
      <c r="B800" s="69" t="n"/>
      <c r="C800" s="70" t="n"/>
      <c r="D800" s="69" t="n"/>
      <c r="E800" s="69" t="n"/>
      <c r="F800" s="69" t="n"/>
      <c r="G800" s="69" t="n"/>
      <c r="H800" s="69" t="n"/>
      <c r="I800" s="69" t="n"/>
      <c r="J800" s="74" t="n"/>
      <c r="K800" s="69" t="n"/>
      <c r="L800" s="18" t="n"/>
      <c r="M800" s="69" t="n"/>
      <c r="N800" s="58" t="n"/>
    </row>
    <row r="801" ht="87" customHeight="1">
      <c r="A801" s="69" t="n"/>
      <c r="B801" s="69" t="n"/>
      <c r="C801" s="70" t="n"/>
      <c r="D801" s="69" t="n"/>
      <c r="E801" s="69" t="n"/>
      <c r="F801" s="69" t="n"/>
      <c r="G801" s="69" t="n"/>
      <c r="H801" s="69" t="n"/>
      <c r="I801" s="69" t="n"/>
      <c r="J801" s="74" t="n"/>
      <c r="K801" s="69" t="n"/>
      <c r="L801" s="18" t="n"/>
      <c r="M801" s="69" t="n"/>
      <c r="N801" s="58" t="n"/>
    </row>
    <row r="802" ht="72.75" customHeight="1">
      <c r="A802" s="69" t="n"/>
      <c r="B802" s="69" t="n"/>
      <c r="C802" s="70" t="n"/>
      <c r="D802" s="69" t="n"/>
      <c r="E802" s="69" t="n"/>
      <c r="F802" s="69" t="n"/>
      <c r="G802" s="69" t="n"/>
      <c r="H802" s="69" t="n"/>
      <c r="I802" s="69" t="n"/>
      <c r="J802" s="74" t="n"/>
      <c r="K802" s="69" t="n"/>
      <c r="L802" s="18" t="n"/>
      <c r="M802" s="69" t="n"/>
      <c r="N802" s="58" t="n"/>
    </row>
    <row r="803" ht="43.5" customHeight="1">
      <c r="A803" s="69" t="n"/>
      <c r="B803" s="69" t="n"/>
      <c r="C803" s="70" t="n"/>
      <c r="D803" s="69" t="n"/>
      <c r="E803" s="69" t="n"/>
      <c r="F803" s="69" t="n"/>
      <c r="G803" s="69" t="n"/>
      <c r="H803" s="69" t="n"/>
      <c r="I803" s="69" t="n"/>
      <c r="J803" s="74" t="n"/>
      <c r="K803" s="69" t="n"/>
      <c r="L803" s="18" t="n"/>
      <c r="M803" s="69" t="n"/>
      <c r="N803" s="58" t="n"/>
    </row>
    <row r="804" ht="43.5" customHeight="1">
      <c r="A804" s="69" t="n"/>
      <c r="B804" s="69" t="n"/>
      <c r="C804" s="70" t="n"/>
      <c r="D804" s="69" t="n"/>
      <c r="E804" s="69" t="n"/>
      <c r="F804" s="69" t="n"/>
      <c r="G804" s="69" t="n"/>
      <c r="H804" s="69" t="n"/>
      <c r="I804" s="69" t="n"/>
      <c r="J804" s="74" t="n"/>
      <c r="K804" s="69" t="n"/>
      <c r="L804" s="18" t="n"/>
      <c r="M804" s="69" t="n"/>
      <c r="N804" s="58" t="n"/>
    </row>
    <row r="805" ht="43.5" customHeight="1">
      <c r="A805" s="69" t="n"/>
      <c r="B805" s="69" t="n"/>
      <c r="C805" s="70" t="n"/>
      <c r="D805" s="69" t="n"/>
      <c r="E805" s="69" t="n"/>
      <c r="F805" s="69" t="n"/>
      <c r="G805" s="69" t="n"/>
      <c r="H805" s="69" t="n"/>
      <c r="I805" s="69" t="n"/>
      <c r="J805" s="74" t="n"/>
      <c r="K805" s="69" t="n"/>
      <c r="L805" s="18" t="n"/>
      <c r="M805" s="69" t="n"/>
      <c r="N805" s="58" t="n"/>
    </row>
    <row r="806" ht="43.5" customHeight="1">
      <c r="A806" s="69" t="n"/>
      <c r="B806" s="69" t="n"/>
      <c r="C806" s="70" t="n"/>
      <c r="D806" s="69" t="n"/>
      <c r="E806" s="69" t="n"/>
      <c r="F806" s="69" t="n"/>
      <c r="G806" s="69" t="n"/>
      <c r="H806" s="69" t="n"/>
      <c r="I806" s="69" t="n"/>
      <c r="J806" s="74" t="n"/>
      <c r="K806" s="69" t="n"/>
      <c r="L806" s="18" t="n"/>
      <c r="M806" s="69" t="n"/>
      <c r="N806" s="58" t="n"/>
    </row>
    <row r="807">
      <c r="A807" s="69" t="n"/>
      <c r="B807" s="69" t="n"/>
      <c r="C807" s="70" t="n"/>
      <c r="D807" s="69" t="n"/>
      <c r="E807" s="69" t="n"/>
      <c r="F807" s="69" t="n"/>
      <c r="G807" s="69" t="n"/>
      <c r="H807" s="69" t="n"/>
      <c r="I807" s="69" t="n"/>
      <c r="J807" s="74" t="n"/>
      <c r="K807" s="69" t="n"/>
      <c r="L807" s="18" t="n"/>
      <c r="M807" s="69" t="n"/>
      <c r="N807" s="58" t="n"/>
    </row>
    <row r="808" ht="130.5" customHeight="1">
      <c r="A808" s="69" t="n"/>
      <c r="B808" s="69" t="n"/>
      <c r="C808" s="70" t="n"/>
      <c r="D808" s="69" t="n"/>
      <c r="E808" s="69" t="n"/>
      <c r="F808" s="69" t="n"/>
      <c r="G808" s="69" t="n"/>
      <c r="H808" s="69" t="n"/>
      <c r="I808" s="69" t="n"/>
      <c r="J808" s="74" t="n"/>
      <c r="K808" s="69" t="n"/>
      <c r="L808" s="18" t="n"/>
      <c r="M808" s="69" t="n"/>
      <c r="N808" s="58" t="n"/>
    </row>
    <row r="809" ht="57.75" customHeight="1">
      <c r="A809" s="69" t="n"/>
      <c r="B809" s="69" t="n"/>
      <c r="C809" s="70" t="n"/>
      <c r="D809" s="69" t="n"/>
      <c r="E809" s="69" t="n"/>
      <c r="F809" s="69" t="n"/>
      <c r="G809" s="69" t="n"/>
      <c r="H809" s="69" t="n"/>
      <c r="I809" s="69" t="n"/>
      <c r="J809" s="74" t="n"/>
      <c r="K809" s="69" t="n"/>
      <c r="L809" s="18" t="n"/>
      <c r="M809" s="69" t="n"/>
      <c r="N809" s="58" t="n"/>
    </row>
    <row r="810">
      <c r="A810" s="69" t="n"/>
      <c r="B810" s="69" t="n"/>
      <c r="C810" s="70" t="n"/>
      <c r="D810" s="69" t="n"/>
      <c r="E810" s="69" t="n"/>
      <c r="F810" s="69" t="n"/>
      <c r="G810" s="69" t="n"/>
      <c r="H810" s="69" t="n"/>
      <c r="I810" s="69" t="n"/>
      <c r="J810" s="74" t="n"/>
      <c r="K810" s="69" t="n"/>
      <c r="L810" s="18" t="n"/>
      <c r="M810" s="69" t="n"/>
      <c r="N810" s="58" t="n"/>
    </row>
    <row r="811">
      <c r="A811" s="69" t="n"/>
      <c r="B811" s="69" t="n"/>
      <c r="C811" s="70" t="n"/>
      <c r="D811" s="69" t="n"/>
      <c r="E811" s="69" t="n"/>
      <c r="F811" s="69" t="n"/>
      <c r="G811" s="69" t="n"/>
      <c r="H811" s="69" t="n"/>
      <c r="I811" s="69" t="n"/>
      <c r="J811" s="74" t="n"/>
      <c r="K811" s="69" t="n"/>
      <c r="L811" s="18" t="n"/>
      <c r="M811" s="69" t="n"/>
      <c r="N811" s="58" t="n"/>
    </row>
    <row r="812" ht="159" customHeight="1">
      <c r="A812" s="69" t="n"/>
      <c r="B812" s="69" t="n"/>
      <c r="C812" s="70" t="n"/>
      <c r="D812" s="69" t="n"/>
      <c r="E812" s="69" t="n"/>
      <c r="F812" s="69" t="n"/>
      <c r="G812" s="69" t="n"/>
      <c r="H812" s="69" t="n"/>
      <c r="I812" s="69" t="n"/>
      <c r="J812" s="74" t="n"/>
      <c r="K812" s="69" t="n"/>
      <c r="L812" s="18" t="n"/>
      <c r="M812" s="69" t="n"/>
      <c r="N812" s="58" t="n"/>
    </row>
    <row r="813" ht="29.25" customHeight="1">
      <c r="A813" s="69" t="n"/>
      <c r="B813" s="69" t="n"/>
      <c r="C813" s="70" t="n"/>
      <c r="D813" s="69" t="n"/>
      <c r="E813" s="69" t="n"/>
      <c r="F813" s="69" t="n"/>
      <c r="G813" s="69" t="n"/>
      <c r="H813" s="69" t="n"/>
      <c r="I813" s="69" t="n"/>
      <c r="J813" s="74" t="n"/>
      <c r="K813" s="69" t="n"/>
      <c r="L813" s="18" t="n"/>
      <c r="M813" s="69" t="n"/>
      <c r="N813" s="58" t="n"/>
    </row>
    <row r="814" ht="29.25" customHeight="1">
      <c r="A814" s="69" t="n"/>
      <c r="B814" s="69" t="n"/>
      <c r="C814" s="70" t="n"/>
      <c r="D814" s="69" t="n"/>
      <c r="E814" s="69" t="n"/>
      <c r="F814" s="69" t="n"/>
      <c r="G814" s="69" t="n"/>
      <c r="H814" s="69" t="n"/>
      <c r="I814" s="69" t="n"/>
      <c r="J814" s="74" t="n"/>
      <c r="K814" s="69" t="n"/>
      <c r="L814" s="18" t="n"/>
      <c r="M814" s="69" t="n"/>
      <c r="N814" s="58" t="n"/>
    </row>
    <row r="815" ht="101.25" customHeight="1">
      <c r="A815" s="69" t="n"/>
      <c r="B815" s="69" t="n"/>
      <c r="C815" s="70" t="n"/>
      <c r="D815" s="69" t="n"/>
      <c r="E815" s="69" t="n"/>
      <c r="F815" s="69" t="n"/>
      <c r="G815" s="69" t="n"/>
      <c r="H815" s="69" t="n"/>
      <c r="I815" s="69" t="n"/>
      <c r="J815" s="74" t="n"/>
      <c r="K815" s="69" t="n"/>
      <c r="L815" s="18" t="n"/>
      <c r="M815" s="69" t="n"/>
      <c r="N815" s="58" t="n"/>
    </row>
    <row r="816" ht="174" customHeight="1">
      <c r="A816" s="69" t="n"/>
      <c r="B816" s="69" t="n"/>
      <c r="C816" s="70" t="n"/>
      <c r="D816" s="69" t="n"/>
      <c r="E816" s="69" t="n"/>
      <c r="F816" s="69" t="n"/>
      <c r="G816" s="69" t="n"/>
      <c r="H816" s="69" t="n"/>
      <c r="I816" s="69" t="n"/>
      <c r="J816" s="74" t="n"/>
      <c r="K816" s="69" t="n"/>
      <c r="L816" s="18" t="n"/>
      <c r="M816" s="69" t="n"/>
      <c r="N816" s="58" t="n"/>
    </row>
    <row r="817" ht="174" customHeight="1">
      <c r="A817" s="69" t="n"/>
      <c r="B817" s="69" t="n"/>
      <c r="C817" s="70" t="n"/>
      <c r="D817" s="69" t="n"/>
      <c r="E817" s="69" t="n"/>
      <c r="F817" s="69" t="n"/>
      <c r="G817" s="69" t="n"/>
      <c r="H817" s="69" t="n"/>
      <c r="I817" s="69" t="n"/>
      <c r="J817" s="74" t="n"/>
      <c r="K817" s="69" t="n"/>
      <c r="L817" s="18" t="n"/>
      <c r="M817" s="69" t="n"/>
      <c r="N817" s="58" t="n"/>
    </row>
    <row r="818" ht="101.25" customHeight="1">
      <c r="A818" s="69" t="n"/>
      <c r="B818" s="69" t="n"/>
      <c r="C818" s="70" t="n"/>
      <c r="D818" s="69" t="n"/>
      <c r="E818" s="69" t="n"/>
      <c r="F818" s="69" t="n"/>
      <c r="G818" s="69" t="n"/>
      <c r="H818" s="69" t="n"/>
      <c r="I818" s="69" t="n"/>
      <c r="J818" s="74" t="n"/>
      <c r="K818" s="69" t="n"/>
      <c r="L818" s="18" t="n"/>
      <c r="M818" s="69" t="n"/>
      <c r="N818" s="58" t="n"/>
    </row>
    <row r="819" ht="43.5" customHeight="1">
      <c r="A819" s="69" t="n"/>
      <c r="B819" s="69" t="n"/>
      <c r="C819" s="70" t="n"/>
      <c r="D819" s="69" t="n"/>
      <c r="E819" s="69" t="n"/>
      <c r="F819" s="69" t="n"/>
      <c r="G819" s="69" t="n"/>
      <c r="H819" s="69" t="n"/>
      <c r="I819" s="69" t="n"/>
      <c r="J819" s="74" t="n"/>
      <c r="K819" s="69" t="n"/>
      <c r="L819" s="18" t="n"/>
      <c r="M819" s="69" t="n"/>
      <c r="N819" s="58" t="n"/>
    </row>
    <row r="820" ht="101.25" customHeight="1">
      <c r="A820" s="69" t="n"/>
      <c r="B820" s="69" t="n"/>
      <c r="C820" s="70" t="n"/>
      <c r="D820" s="69" t="n"/>
      <c r="E820" s="69" t="n"/>
      <c r="F820" s="69" t="n"/>
      <c r="G820" s="69" t="n"/>
      <c r="H820" s="69" t="n"/>
      <c r="I820" s="69" t="n"/>
      <c r="J820" s="74" t="n"/>
      <c r="K820" s="69" t="n"/>
      <c r="L820" s="18" t="n"/>
      <c r="M820" s="69" t="n"/>
      <c r="N820" s="58" t="n"/>
    </row>
    <row r="821" ht="174" customHeight="1">
      <c r="A821" s="69" t="n"/>
      <c r="B821" s="69" t="n"/>
      <c r="C821" s="70" t="n"/>
      <c r="D821" s="69" t="n"/>
      <c r="E821" s="69" t="n"/>
      <c r="F821" s="69" t="n"/>
      <c r="G821" s="69" t="n"/>
      <c r="H821" s="69" t="n"/>
      <c r="I821" s="69" t="n"/>
      <c r="J821" s="74" t="n"/>
      <c r="K821" s="69" t="n"/>
      <c r="L821" s="18" t="n"/>
      <c r="M821" s="69" t="n"/>
      <c r="N821" s="58" t="n"/>
    </row>
    <row r="822" ht="72.75" customHeight="1">
      <c r="A822" s="69" t="n"/>
      <c r="B822" s="69" t="n"/>
      <c r="C822" s="70" t="n"/>
      <c r="D822" s="69" t="n"/>
      <c r="E822" s="69" t="n"/>
      <c r="F822" s="69" t="n"/>
      <c r="G822" s="69" t="n"/>
      <c r="H822" s="69" t="n"/>
      <c r="I822" s="69" t="n"/>
      <c r="J822" s="74" t="n"/>
      <c r="K822" s="69" t="n"/>
      <c r="L822" s="18" t="n"/>
      <c r="M822" s="69" t="n"/>
      <c r="N822" s="58" t="n"/>
    </row>
    <row r="823">
      <c r="A823" s="69" t="n"/>
      <c r="B823" s="69" t="n"/>
      <c r="C823" s="70" t="n"/>
      <c r="D823" s="69" t="n"/>
      <c r="E823" s="69" t="n"/>
      <c r="F823" s="69" t="n"/>
      <c r="G823" s="69" t="n"/>
      <c r="H823" s="69" t="n"/>
      <c r="I823" s="69" t="n"/>
      <c r="J823" s="74" t="n"/>
      <c r="K823" s="69" t="n"/>
      <c r="L823" s="18" t="n"/>
      <c r="M823" s="69" t="n"/>
      <c r="N823" s="58" t="n"/>
    </row>
    <row r="824">
      <c r="A824" s="69" t="n"/>
      <c r="B824" s="69" t="n"/>
      <c r="C824" s="70" t="n"/>
      <c r="D824" s="69" t="n"/>
      <c r="E824" s="69" t="n"/>
      <c r="F824" s="69" t="n"/>
      <c r="G824" s="69" t="n"/>
      <c r="H824" s="69" t="n"/>
      <c r="I824" s="69" t="n"/>
      <c r="J824" s="74" t="n"/>
      <c r="K824" s="69" t="n"/>
      <c r="L824" s="18" t="n"/>
      <c r="M824" s="69" t="n"/>
      <c r="N824" s="58" t="n"/>
    </row>
    <row r="825">
      <c r="A825" s="69" t="n"/>
      <c r="B825" s="69" t="n"/>
      <c r="C825" s="70" t="n"/>
      <c r="D825" s="69" t="n"/>
      <c r="E825" s="69" t="n"/>
      <c r="F825" s="69" t="n"/>
      <c r="G825" s="69" t="n"/>
      <c r="H825" s="69" t="n"/>
      <c r="I825" s="69" t="n"/>
      <c r="J825" s="74" t="n"/>
      <c r="K825" s="69" t="n"/>
      <c r="L825" s="18" t="n"/>
      <c r="M825" s="69" t="n"/>
      <c r="N825" s="58" t="n"/>
    </row>
    <row r="826">
      <c r="A826" s="69" t="n"/>
      <c r="B826" s="69" t="n"/>
      <c r="C826" s="70" t="n"/>
      <c r="D826" s="69" t="n"/>
      <c r="E826" s="69" t="n"/>
      <c r="F826" s="69" t="n"/>
      <c r="G826" s="69" t="n"/>
      <c r="H826" s="69" t="n"/>
      <c r="I826" s="69" t="n"/>
      <c r="J826" s="74" t="n"/>
      <c r="K826" s="69" t="n"/>
      <c r="L826" s="18" t="n"/>
      <c r="M826" s="69" t="n"/>
      <c r="N826" s="58" t="n"/>
    </row>
    <row r="827" ht="72.75" customHeight="1">
      <c r="A827" s="69" t="n"/>
      <c r="B827" s="69" t="n"/>
      <c r="C827" s="70" t="n"/>
      <c r="D827" s="69" t="n"/>
      <c r="E827" s="69" t="n"/>
      <c r="F827" s="69" t="n"/>
      <c r="G827" s="69" t="n"/>
      <c r="H827" s="69" t="n"/>
      <c r="I827" s="69" t="n"/>
      <c r="J827" s="74" t="n"/>
      <c r="K827" s="69" t="n"/>
      <c r="L827" s="18" t="n"/>
      <c r="M827" s="69" t="n"/>
      <c r="N827" s="58" t="n"/>
    </row>
    <row r="828">
      <c r="A828" s="69" t="n"/>
      <c r="B828" s="69" t="n"/>
      <c r="C828" s="70" t="n"/>
      <c r="D828" s="69" t="n"/>
      <c r="E828" s="69" t="n"/>
      <c r="F828" s="69" t="n"/>
      <c r="G828" s="69" t="n"/>
      <c r="H828" s="69" t="n"/>
      <c r="I828" s="69" t="n"/>
      <c r="J828" s="74" t="n"/>
      <c r="K828" s="69" t="n"/>
      <c r="L828" s="18" t="n"/>
      <c r="M828" s="69" t="n"/>
      <c r="N828" s="58" t="n"/>
    </row>
    <row r="829" ht="115.5" customHeight="1">
      <c r="A829" s="69" t="n"/>
      <c r="B829" s="69" t="n"/>
      <c r="C829" s="70" t="n"/>
      <c r="D829" s="69" t="n"/>
      <c r="E829" s="69" t="n"/>
      <c r="F829" s="69" t="n"/>
      <c r="G829" s="69" t="n"/>
      <c r="H829" s="69" t="n"/>
      <c r="I829" s="69" t="n"/>
      <c r="J829" s="74" t="n"/>
      <c r="K829" s="69" t="n"/>
      <c r="L829" s="18" t="n"/>
      <c r="M829" s="69" t="n"/>
      <c r="N829" s="58" t="n"/>
    </row>
    <row r="830" ht="29.25" customHeight="1">
      <c r="A830" s="69" t="n"/>
      <c r="B830" s="69" t="n"/>
      <c r="C830" s="70" t="n"/>
      <c r="D830" s="69" t="n"/>
      <c r="E830" s="69" t="n"/>
      <c r="F830" s="69" t="n"/>
      <c r="G830" s="69" t="n"/>
      <c r="H830" s="69" t="n"/>
      <c r="I830" s="69" t="n"/>
      <c r="J830" s="74" t="n"/>
      <c r="K830" s="69" t="n"/>
      <c r="L830" s="18" t="n"/>
      <c r="M830" s="69" t="n"/>
      <c r="N830" s="58" t="n"/>
    </row>
    <row r="831" ht="29.25" customHeight="1">
      <c r="A831" s="69" t="n"/>
      <c r="B831" s="69" t="n"/>
      <c r="C831" s="70" t="n"/>
      <c r="D831" s="69" t="n"/>
      <c r="E831" s="69" t="n"/>
      <c r="F831" s="69" t="n"/>
      <c r="G831" s="69" t="n"/>
      <c r="H831" s="69" t="n"/>
      <c r="I831" s="69" t="n"/>
      <c r="J831" s="74" t="n"/>
      <c r="K831" s="69" t="n"/>
      <c r="L831" s="18" t="n"/>
      <c r="M831" s="69" t="n"/>
      <c r="N831" s="58" t="n"/>
    </row>
    <row r="832" ht="130.5" customHeight="1">
      <c r="A832" s="69" t="n"/>
      <c r="B832" s="69" t="n"/>
      <c r="C832" s="70" t="n"/>
      <c r="D832" s="69" t="n"/>
      <c r="E832" s="69" t="n"/>
      <c r="F832" s="69" t="n"/>
      <c r="G832" s="69" t="n"/>
      <c r="H832" s="69" t="n"/>
      <c r="I832" s="69" t="n"/>
      <c r="J832" s="74" t="n"/>
      <c r="K832" s="69" t="n"/>
      <c r="L832" s="18" t="n"/>
      <c r="M832" s="69" t="n"/>
      <c r="N832" s="58" t="n"/>
    </row>
    <row r="833" ht="29.25" customHeight="1">
      <c r="A833" s="69" t="n"/>
      <c r="B833" s="69" t="n"/>
      <c r="C833" s="70" t="n"/>
      <c r="D833" s="69" t="n"/>
      <c r="E833" s="69" t="n"/>
      <c r="F833" s="69" t="n"/>
      <c r="G833" s="69" t="n"/>
      <c r="H833" s="69" t="n"/>
      <c r="I833" s="69" t="n"/>
      <c r="J833" s="74" t="n"/>
      <c r="K833" s="69" t="n"/>
      <c r="L833" s="18" t="n"/>
      <c r="M833" s="69" t="n"/>
      <c r="N833" s="58" t="n"/>
    </row>
    <row r="834" ht="144.75" customHeight="1">
      <c r="A834" s="69" t="n"/>
      <c r="B834" s="69" t="n"/>
      <c r="C834" s="70" t="n"/>
      <c r="D834" s="69" t="n"/>
      <c r="E834" s="69" t="n"/>
      <c r="F834" s="69" t="n"/>
      <c r="G834" s="69" t="n"/>
      <c r="H834" s="69" t="n"/>
      <c r="I834" s="69" t="n"/>
      <c r="J834" s="74" t="n"/>
      <c r="K834" s="69" t="n"/>
      <c r="L834" s="18" t="n"/>
      <c r="M834" s="69" t="n"/>
      <c r="N834" s="58" t="n"/>
    </row>
    <row r="835" ht="29.25" customHeight="1">
      <c r="A835" s="69" t="n"/>
      <c r="B835" s="69" t="n"/>
      <c r="C835" s="70" t="n"/>
      <c r="D835" s="69" t="n"/>
      <c r="E835" s="69" t="n"/>
      <c r="F835" s="69" t="n"/>
      <c r="G835" s="69" t="n"/>
      <c r="H835" s="69" t="n"/>
      <c r="I835" s="69" t="n"/>
      <c r="J835" s="74" t="n"/>
      <c r="K835" s="69" t="n"/>
      <c r="L835" s="18" t="n"/>
      <c r="M835" s="69" t="n"/>
      <c r="N835" s="58" t="n"/>
    </row>
    <row r="836" ht="29.25" customHeight="1">
      <c r="A836" s="69" t="n"/>
      <c r="B836" s="69" t="n"/>
      <c r="C836" s="70" t="n"/>
      <c r="D836" s="69" t="n"/>
      <c r="E836" s="69" t="n"/>
      <c r="F836" s="69" t="n"/>
      <c r="G836" s="69" t="n"/>
      <c r="H836" s="69" t="n"/>
      <c r="I836" s="69" t="n"/>
      <c r="J836" s="74" t="n"/>
      <c r="K836" s="69" t="n"/>
      <c r="L836" s="18" t="n"/>
      <c r="M836" s="69" t="n"/>
      <c r="N836" s="58" t="n"/>
    </row>
    <row r="837" ht="144.75" customHeight="1">
      <c r="A837" s="69" t="n"/>
      <c r="B837" s="69" t="n"/>
      <c r="C837" s="70" t="n"/>
      <c r="D837" s="69" t="n"/>
      <c r="E837" s="69" t="n"/>
      <c r="F837" s="69" t="n"/>
      <c r="G837" s="69" t="n"/>
      <c r="H837" s="69" t="n"/>
      <c r="I837" s="69" t="n"/>
      <c r="J837" s="74" t="n"/>
      <c r="K837" s="69" t="n"/>
      <c r="L837" s="18" t="n"/>
      <c r="M837" s="69" t="n"/>
      <c r="N837" s="58" t="n"/>
    </row>
    <row r="838" ht="29.25" customHeight="1">
      <c r="A838" s="69" t="n"/>
      <c r="B838" s="69" t="n"/>
      <c r="C838" s="70" t="n"/>
      <c r="D838" s="69" t="n"/>
      <c r="E838" s="69" t="n"/>
      <c r="F838" s="69" t="n"/>
      <c r="G838" s="69" t="n"/>
      <c r="H838" s="69" t="n"/>
      <c r="I838" s="69" t="n"/>
      <c r="J838" s="74" t="n"/>
      <c r="K838" s="69" t="n"/>
      <c r="L838" s="18" t="n"/>
      <c r="M838" s="69" t="n"/>
      <c r="N838" s="58" t="n"/>
    </row>
    <row r="839" ht="29.25" customHeight="1">
      <c r="A839" s="69" t="n"/>
      <c r="B839" s="69" t="n"/>
      <c r="C839" s="70" t="n"/>
      <c r="D839" s="69" t="n"/>
      <c r="E839" s="69" t="n"/>
      <c r="F839" s="69" t="n"/>
      <c r="G839" s="69" t="n"/>
      <c r="H839" s="69" t="n"/>
      <c r="I839" s="69" t="n"/>
      <c r="J839" s="74" t="n"/>
      <c r="K839" s="69" t="n"/>
      <c r="L839" s="18" t="n"/>
      <c r="M839" s="69" t="n"/>
      <c r="N839" s="58" t="n"/>
    </row>
    <row r="840" ht="29.25" customHeight="1">
      <c r="A840" s="69" t="n"/>
      <c r="B840" s="69" t="n"/>
      <c r="C840" s="70" t="n"/>
      <c r="D840" s="69" t="n"/>
      <c r="E840" s="69" t="n"/>
      <c r="F840" s="69" t="n"/>
      <c r="G840" s="69" t="n"/>
      <c r="H840" s="69" t="n"/>
      <c r="I840" s="69" t="n"/>
      <c r="J840" s="74" t="n"/>
      <c r="K840" s="69" t="n"/>
      <c r="L840" s="18" t="n"/>
      <c r="M840" s="69" t="n"/>
      <c r="N840" s="58" t="n"/>
    </row>
    <row r="841">
      <c r="A841" s="69" t="n"/>
      <c r="B841" s="69" t="n"/>
      <c r="C841" s="70" t="n"/>
      <c r="D841" s="69" t="n"/>
      <c r="E841" s="69" t="n"/>
      <c r="F841" s="69" t="n"/>
      <c r="G841" s="69" t="n"/>
      <c r="H841" s="69" t="n"/>
      <c r="I841" s="69" t="n"/>
      <c r="J841" s="74" t="n"/>
      <c r="K841" s="69" t="n"/>
      <c r="L841" s="18" t="n"/>
      <c r="M841" s="69" t="n"/>
      <c r="N841" s="58" t="n"/>
    </row>
    <row r="842" ht="29.25" customHeight="1">
      <c r="A842" s="69" t="n"/>
      <c r="B842" s="69" t="n"/>
      <c r="C842" s="70" t="n"/>
      <c r="D842" s="69" t="n"/>
      <c r="E842" s="69" t="n"/>
      <c r="F842" s="69" t="n"/>
      <c r="G842" s="69" t="n"/>
      <c r="H842" s="69" t="n"/>
      <c r="I842" s="69" t="n"/>
      <c r="J842" s="74" t="n"/>
      <c r="K842" s="69" t="n"/>
      <c r="L842" s="18" t="n"/>
      <c r="M842" s="69" t="n"/>
      <c r="N842" s="58" t="n"/>
    </row>
    <row r="843" ht="29.25" customHeight="1">
      <c r="A843" s="69" t="n"/>
      <c r="B843" s="69" t="n"/>
      <c r="C843" s="70" t="n"/>
      <c r="D843" s="69" t="n"/>
      <c r="E843" s="69" t="n"/>
      <c r="F843" s="69" t="n"/>
      <c r="G843" s="69" t="n"/>
      <c r="H843" s="69" t="n"/>
      <c r="I843" s="69" t="n"/>
      <c r="J843" s="74" t="n"/>
      <c r="K843" s="69" t="n"/>
      <c r="L843" s="18" t="n"/>
      <c r="M843" s="69" t="n"/>
      <c r="N843" s="58" t="n"/>
    </row>
    <row r="844" ht="29.25" customHeight="1">
      <c r="A844" s="69" t="n"/>
      <c r="B844" s="69" t="n"/>
      <c r="C844" s="70" t="n"/>
      <c r="D844" s="69" t="n"/>
      <c r="E844" s="69" t="n"/>
      <c r="F844" s="69" t="n"/>
      <c r="G844" s="69" t="n"/>
      <c r="H844" s="69" t="n"/>
      <c r="I844" s="69" t="n"/>
      <c r="J844" s="74" t="n"/>
      <c r="K844" s="69" t="n"/>
      <c r="L844" s="18" t="n"/>
      <c r="M844" s="69" t="n"/>
      <c r="N844" s="58" t="n"/>
    </row>
    <row r="845" ht="72.75" customHeight="1">
      <c r="A845" s="69" t="n"/>
      <c r="B845" s="69" t="n"/>
      <c r="C845" s="70" t="n"/>
      <c r="D845" s="69" t="n"/>
      <c r="E845" s="69" t="n"/>
      <c r="F845" s="69" t="n"/>
      <c r="G845" s="69" t="n"/>
      <c r="H845" s="69" t="n"/>
      <c r="I845" s="69" t="n"/>
      <c r="J845" s="74" t="n"/>
      <c r="K845" s="69" t="n"/>
      <c r="L845" s="18" t="n"/>
      <c r="M845" s="69" t="n"/>
      <c r="N845" s="58" t="n"/>
    </row>
    <row r="846" ht="174" customHeight="1">
      <c r="A846" s="69" t="n"/>
      <c r="B846" s="69" t="n"/>
      <c r="C846" s="70" t="n"/>
      <c r="D846" s="69" t="n"/>
      <c r="E846" s="69" t="n"/>
      <c r="F846" s="69" t="n"/>
      <c r="G846" s="69" t="n"/>
      <c r="H846" s="69" t="n"/>
      <c r="I846" s="69" t="n"/>
      <c r="J846" s="74" t="n"/>
      <c r="K846" s="69" t="n"/>
      <c r="L846" s="18" t="n"/>
      <c r="M846" s="69" t="n"/>
      <c r="N846" s="58" t="n"/>
    </row>
    <row r="847" ht="57.75" customHeight="1">
      <c r="A847" s="69" t="n"/>
      <c r="B847" s="69" t="n"/>
      <c r="C847" s="70" t="n"/>
      <c r="D847" s="69" t="n"/>
      <c r="E847" s="69" t="n"/>
      <c r="F847" s="69" t="n"/>
      <c r="G847" s="69" t="n"/>
      <c r="H847" s="69" t="n"/>
      <c r="I847" s="69" t="n"/>
      <c r="J847" s="74" t="n"/>
      <c r="K847" s="69" t="n"/>
      <c r="L847" s="18" t="n"/>
      <c r="M847" s="69" t="n"/>
      <c r="N847" s="58" t="n"/>
    </row>
    <row r="848" ht="115.5" customHeight="1">
      <c r="A848" s="69" t="n"/>
      <c r="B848" s="69" t="n"/>
      <c r="C848" s="70" t="n"/>
      <c r="D848" s="69" t="n"/>
      <c r="E848" s="69" t="n"/>
      <c r="F848" s="69" t="n"/>
      <c r="G848" s="69" t="n"/>
      <c r="H848" s="69" t="n"/>
      <c r="I848" s="69" t="n"/>
      <c r="J848" s="74" t="n"/>
      <c r="K848" s="69" t="n"/>
      <c r="L848" s="18" t="n"/>
      <c r="M848" s="69" t="n"/>
      <c r="N848" s="58" t="n"/>
    </row>
    <row r="849" ht="115.5" customHeight="1">
      <c r="A849" s="69" t="n"/>
      <c r="B849" s="69" t="n"/>
      <c r="C849" s="70" t="n"/>
      <c r="D849" s="69" t="n"/>
      <c r="E849" s="69" t="n"/>
      <c r="F849" s="69" t="n"/>
      <c r="G849" s="69" t="n"/>
      <c r="H849" s="69" t="n"/>
      <c r="I849" s="69" t="n"/>
      <c r="J849" s="74" t="n"/>
      <c r="K849" s="69" t="n"/>
      <c r="L849" s="18" t="n"/>
      <c r="M849" s="69" t="n"/>
      <c r="N849" s="58" t="n"/>
    </row>
    <row r="850" ht="159" customHeight="1">
      <c r="A850" s="69" t="n"/>
      <c r="B850" s="69" t="n"/>
      <c r="C850" s="70" t="n"/>
      <c r="D850" s="69" t="n"/>
      <c r="E850" s="69" t="n"/>
      <c r="F850" s="69" t="n"/>
      <c r="G850" s="69" t="n"/>
      <c r="H850" s="69" t="n"/>
      <c r="I850" s="69" t="n"/>
      <c r="J850" s="74" t="n"/>
      <c r="K850" s="69" t="n"/>
      <c r="L850" s="18" t="n"/>
      <c r="M850" s="69" t="n"/>
      <c r="N850" s="58" t="n"/>
    </row>
    <row r="851" ht="159" customHeight="1">
      <c r="A851" s="69" t="n"/>
      <c r="B851" s="69" t="n"/>
      <c r="C851" s="70" t="n"/>
      <c r="D851" s="69" t="n"/>
      <c r="E851" s="69" t="n"/>
      <c r="F851" s="69" t="n"/>
      <c r="G851" s="69" t="n"/>
      <c r="H851" s="69" t="n"/>
      <c r="I851" s="69" t="n"/>
      <c r="J851" s="74" t="n"/>
      <c r="K851" s="69" t="n"/>
      <c r="L851" s="18" t="n"/>
      <c r="M851" s="69" t="n"/>
      <c r="N851" s="58" t="n"/>
    </row>
    <row r="852" ht="29.25" customHeight="1">
      <c r="A852" s="69" t="n"/>
      <c r="B852" s="69" t="n"/>
      <c r="C852" s="70" t="n"/>
      <c r="D852" s="69" t="n"/>
      <c r="E852" s="69" t="n"/>
      <c r="F852" s="69" t="n"/>
      <c r="G852" s="69" t="n"/>
      <c r="H852" s="69" t="n"/>
      <c r="I852" s="69" t="n"/>
      <c r="J852" s="74" t="n"/>
      <c r="K852" s="69" t="n"/>
      <c r="L852" s="18" t="n"/>
      <c r="M852" s="69" t="n"/>
      <c r="N852" s="58" t="n"/>
    </row>
    <row r="853" ht="29.25" customHeight="1">
      <c r="A853" s="69" t="n"/>
      <c r="B853" s="69" t="n"/>
      <c r="C853" s="70" t="n"/>
      <c r="D853" s="69" t="n"/>
      <c r="E853" s="69" t="n"/>
      <c r="F853" s="69" t="n"/>
      <c r="G853" s="69" t="n"/>
      <c r="H853" s="69" t="n"/>
      <c r="I853" s="69" t="n"/>
      <c r="J853" s="74" t="n"/>
      <c r="K853" s="69" t="n"/>
      <c r="L853" s="18" t="n"/>
      <c r="M853" s="69" t="n"/>
      <c r="N853" s="58" t="n"/>
    </row>
    <row r="854">
      <c r="A854" s="69" t="n"/>
      <c r="B854" s="69" t="n"/>
      <c r="C854" s="70" t="n"/>
      <c r="D854" s="69" t="n"/>
      <c r="E854" s="69" t="n"/>
      <c r="F854" s="69" t="n"/>
      <c r="G854" s="69" t="n"/>
      <c r="H854" s="69" t="n"/>
      <c r="I854" s="69" t="n"/>
      <c r="J854" s="74" t="n"/>
      <c r="K854" s="69" t="n"/>
      <c r="L854" s="18" t="n"/>
      <c r="M854" s="69" t="n"/>
      <c r="N854" s="58" t="n"/>
    </row>
    <row r="855" ht="216.75" customHeight="1">
      <c r="A855" s="69" t="n"/>
      <c r="B855" s="69" t="n"/>
      <c r="C855" s="70" t="n"/>
      <c r="D855" s="69" t="n"/>
      <c r="E855" s="69" t="n"/>
      <c r="F855" s="69" t="n"/>
      <c r="G855" s="69" t="n"/>
      <c r="H855" s="69" t="n"/>
      <c r="I855" s="69" t="n"/>
      <c r="J855" s="74" t="n"/>
      <c r="K855" s="69" t="n"/>
      <c r="L855" s="18" t="n"/>
      <c r="M855" s="69" t="n"/>
      <c r="N855" s="58" t="n"/>
    </row>
    <row r="856" ht="43.5" customHeight="1">
      <c r="A856" s="69" t="n"/>
      <c r="B856" s="69" t="n"/>
      <c r="C856" s="70" t="n"/>
      <c r="D856" s="69" t="n"/>
      <c r="E856" s="69" t="n"/>
      <c r="F856" s="69" t="n"/>
      <c r="G856" s="69" t="n"/>
      <c r="H856" s="69" t="n"/>
      <c r="I856" s="69" t="n"/>
      <c r="J856" s="74" t="n"/>
      <c r="K856" s="69" t="n"/>
      <c r="L856" s="18" t="n"/>
      <c r="M856" s="69" t="n"/>
      <c r="N856" s="58" t="n"/>
    </row>
    <row r="857" ht="115.5" customHeight="1">
      <c r="A857" s="69" t="n"/>
      <c r="B857" s="69" t="n"/>
      <c r="C857" s="70" t="n"/>
      <c r="D857" s="69" t="n"/>
      <c r="E857" s="69" t="n"/>
      <c r="F857" s="69" t="n"/>
      <c r="G857" s="69" t="n"/>
      <c r="H857" s="69" t="n"/>
      <c r="I857" s="69" t="n"/>
      <c r="J857" s="74" t="n"/>
      <c r="K857" s="69" t="n"/>
      <c r="L857" s="18" t="n"/>
      <c r="M857" s="69" t="n"/>
      <c r="N857" s="58" t="n"/>
    </row>
    <row r="858" ht="101.25" customHeight="1">
      <c r="A858" s="69" t="n"/>
      <c r="B858" s="69" t="n"/>
      <c r="C858" s="70" t="n"/>
      <c r="D858" s="69" t="n"/>
      <c r="E858" s="69" t="n"/>
      <c r="F858" s="69" t="n"/>
      <c r="G858" s="69" t="n"/>
      <c r="H858" s="69" t="n"/>
      <c r="I858" s="69" t="n"/>
      <c r="J858" s="74" t="n"/>
      <c r="K858" s="69" t="n"/>
      <c r="L858" s="18" t="n"/>
      <c r="M858" s="69" t="n"/>
      <c r="N858" s="58" t="n"/>
    </row>
    <row r="859" ht="188.25" customHeight="1">
      <c r="A859" s="69" t="n"/>
      <c r="B859" s="69" t="n"/>
      <c r="C859" s="70" t="n"/>
      <c r="D859" s="69" t="n"/>
      <c r="E859" s="69" t="n"/>
      <c r="F859" s="69" t="n"/>
      <c r="G859" s="69" t="n"/>
      <c r="H859" s="69" t="n"/>
      <c r="I859" s="69" t="n"/>
      <c r="J859" s="74" t="n"/>
      <c r="K859" s="69" t="n"/>
      <c r="L859" s="18" t="n"/>
      <c r="M859" s="69" t="n"/>
      <c r="N859" s="58" t="n"/>
    </row>
    <row r="860" ht="130.5" customHeight="1">
      <c r="A860" s="69" t="n"/>
      <c r="B860" s="69" t="n"/>
      <c r="C860" s="70" t="n"/>
      <c r="D860" s="69" t="n"/>
      <c r="E860" s="69" t="n"/>
      <c r="F860" s="69" t="n"/>
      <c r="G860" s="69" t="n"/>
      <c r="H860" s="69" t="n"/>
      <c r="I860" s="69" t="n"/>
      <c r="J860" s="74" t="n"/>
      <c r="K860" s="69" t="n"/>
      <c r="L860" s="18" t="n"/>
      <c r="M860" s="69" t="n"/>
      <c r="N860" s="58" t="n"/>
    </row>
    <row r="861" ht="130.5" customHeight="1">
      <c r="A861" s="69" t="n"/>
      <c r="B861" s="69" t="n"/>
      <c r="C861" s="70" t="n"/>
      <c r="D861" s="69" t="n"/>
      <c r="E861" s="69" t="n"/>
      <c r="F861" s="69" t="n"/>
      <c r="G861" s="69" t="n"/>
      <c r="H861" s="69" t="n"/>
      <c r="I861" s="69" t="n"/>
      <c r="J861" s="74" t="n"/>
      <c r="K861" s="69" t="n"/>
      <c r="L861" s="18" t="n"/>
      <c r="M861" s="69" t="n"/>
      <c r="N861" s="58" t="n"/>
    </row>
    <row r="862" ht="188.25" customHeight="1">
      <c r="A862" s="69" t="n"/>
      <c r="B862" s="69" t="n"/>
      <c r="C862" s="70" t="n"/>
      <c r="D862" s="69" t="n"/>
      <c r="E862" s="69" t="n"/>
      <c r="F862" s="69" t="n"/>
      <c r="G862" s="69" t="n"/>
      <c r="H862" s="69" t="n"/>
      <c r="I862" s="69" t="n"/>
      <c r="J862" s="74" t="n"/>
      <c r="K862" s="69" t="n"/>
      <c r="L862" s="18" t="n"/>
      <c r="M862" s="69" t="n"/>
      <c r="N862" s="58" t="n"/>
    </row>
    <row r="863" ht="101.25" customHeight="1">
      <c r="A863" s="69" t="n"/>
      <c r="B863" s="69" t="n"/>
      <c r="C863" s="70" t="n"/>
      <c r="D863" s="69" t="n"/>
      <c r="E863" s="69" t="n"/>
      <c r="F863" s="69" t="n"/>
      <c r="G863" s="69" t="n"/>
      <c r="H863" s="69" t="n"/>
      <c r="I863" s="69" t="n"/>
      <c r="J863" s="74" t="n"/>
      <c r="K863" s="69" t="n"/>
      <c r="L863" s="18" t="n"/>
      <c r="M863" s="69" t="n"/>
      <c r="N863" s="58" t="n"/>
    </row>
    <row r="864" ht="72.75" customHeight="1">
      <c r="A864" s="69" t="n"/>
      <c r="B864" s="69" t="n"/>
      <c r="C864" s="70" t="n"/>
      <c r="D864" s="69" t="n"/>
      <c r="E864" s="69" t="n"/>
      <c r="F864" s="69" t="n"/>
      <c r="G864" s="69" t="n"/>
      <c r="H864" s="69" t="n"/>
      <c r="I864" s="69" t="n"/>
      <c r="J864" s="74" t="n"/>
      <c r="K864" s="69" t="n"/>
      <c r="L864" s="18" t="n"/>
      <c r="M864" s="69" t="n"/>
      <c r="N864" s="58" t="n"/>
    </row>
    <row r="865" ht="101.25" customHeight="1">
      <c r="A865" s="69" t="n"/>
      <c r="B865" s="69" t="n"/>
      <c r="C865" s="70" t="n"/>
      <c r="D865" s="69" t="n"/>
      <c r="E865" s="69" t="n"/>
      <c r="F865" s="69" t="n"/>
      <c r="G865" s="69" t="n"/>
      <c r="H865" s="69" t="n"/>
      <c r="I865" s="69" t="n"/>
      <c r="J865" s="74" t="n"/>
      <c r="K865" s="69" t="n"/>
      <c r="L865" s="18" t="n"/>
      <c r="M865" s="69" t="n"/>
      <c r="N865" s="58" t="n"/>
    </row>
    <row r="866" ht="101.25" customHeight="1">
      <c r="A866" s="69" t="n"/>
      <c r="B866" s="69" t="n"/>
      <c r="C866" s="70" t="n"/>
      <c r="D866" s="69" t="n"/>
      <c r="E866" s="69" t="n"/>
      <c r="F866" s="69" t="n"/>
      <c r="G866" s="69" t="n"/>
      <c r="H866" s="69" t="n"/>
      <c r="I866" s="69" t="n"/>
      <c r="J866" s="74" t="n"/>
      <c r="K866" s="69" t="n"/>
      <c r="L866" s="18" t="n"/>
      <c r="M866" s="69" t="n"/>
      <c r="N866" s="58" t="n"/>
    </row>
    <row r="867" ht="216.75" customHeight="1">
      <c r="A867" s="69" t="n"/>
      <c r="B867" s="69" t="n"/>
      <c r="C867" s="70" t="n"/>
      <c r="D867" s="69" t="n"/>
      <c r="E867" s="69" t="n"/>
      <c r="F867" s="69" t="n"/>
      <c r="G867" s="69" t="n"/>
      <c r="H867" s="69" t="n"/>
      <c r="I867" s="69" t="n"/>
      <c r="J867" s="74" t="n"/>
      <c r="K867" s="69" t="n"/>
      <c r="L867" s="18" t="n"/>
      <c r="M867" s="69" t="n"/>
      <c r="N867" s="58" t="n"/>
    </row>
    <row r="868" ht="174" customHeight="1">
      <c r="A868" s="69" t="n"/>
      <c r="B868" s="69" t="n"/>
      <c r="C868" s="70" t="n"/>
      <c r="D868" s="69" t="n"/>
      <c r="E868" s="69" t="n"/>
      <c r="F868" s="69" t="n"/>
      <c r="G868" s="69" t="n"/>
      <c r="H868" s="69" t="n"/>
      <c r="I868" s="69" t="n"/>
      <c r="J868" s="74" t="n"/>
      <c r="K868" s="69" t="n"/>
      <c r="L868" s="18" t="n"/>
      <c r="M868" s="69" t="n"/>
      <c r="N868" s="58" t="n"/>
    </row>
    <row r="869" ht="57.75" customHeight="1">
      <c r="A869" s="69" t="n"/>
      <c r="B869" s="69" t="n"/>
      <c r="C869" s="70" t="n"/>
      <c r="D869" s="69" t="n"/>
      <c r="E869" s="69" t="n"/>
      <c r="F869" s="69" t="n"/>
      <c r="G869" s="69" t="n"/>
      <c r="H869" s="69" t="n"/>
      <c r="I869" s="69" t="n"/>
      <c r="J869" s="74" t="n"/>
      <c r="K869" s="69" t="n"/>
      <c r="L869" s="18" t="n"/>
      <c r="M869" s="69" t="n"/>
      <c r="N869" s="58" t="n"/>
    </row>
    <row r="870" ht="43.5" customHeight="1">
      <c r="A870" s="69" t="n"/>
      <c r="B870" s="69" t="n"/>
      <c r="C870" s="70" t="n"/>
      <c r="D870" s="69" t="n"/>
      <c r="E870" s="69" t="n"/>
      <c r="F870" s="69" t="n"/>
      <c r="G870" s="69" t="n"/>
      <c r="H870" s="69" t="n"/>
      <c r="I870" s="69" t="n"/>
      <c r="J870" s="74" t="n"/>
      <c r="K870" s="69" t="n"/>
      <c r="L870" s="18" t="n"/>
      <c r="M870" s="69" t="n"/>
      <c r="N870" s="58" t="n"/>
    </row>
    <row r="871" ht="201.75" customHeight="1">
      <c r="A871" s="69" t="n"/>
      <c r="B871" s="69" t="n"/>
      <c r="C871" s="70" t="n"/>
      <c r="D871" s="69" t="n"/>
      <c r="E871" s="69" t="n"/>
      <c r="F871" s="69" t="n"/>
      <c r="G871" s="69" t="n"/>
      <c r="H871" s="69" t="n"/>
      <c r="I871" s="69" t="n"/>
      <c r="J871" s="74" t="n"/>
      <c r="K871" s="69" t="n"/>
      <c r="L871" s="18" t="n"/>
      <c r="M871" s="69" t="n"/>
      <c r="N871" s="5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N26"/>
  <sheetViews>
    <sheetView workbookViewId="0">
      <selection activeCell="G28" sqref="G28"/>
    </sheetView>
  </sheetViews>
  <sheetFormatPr baseColWidth="8" defaultRowHeight="15"/>
  <cols>
    <col width="18" customWidth="1" min="2" max="2"/>
    <col width="15.28515625" customWidth="1" min="3" max="3"/>
    <col width="27" customWidth="1" min="4" max="4"/>
    <col width="23.140625" customWidth="1" min="5" max="5"/>
    <col width="18" customWidth="1" min="6" max="6"/>
    <col width="22.85546875" customWidth="1" min="7" max="7"/>
    <col width="21" customWidth="1" min="8" max="8"/>
    <col width="20.5703125" customWidth="1" min="9" max="9"/>
    <col width="15.140625" customWidth="1" min="10" max="10"/>
    <col width="18.140625" customWidth="1" min="11" max="11"/>
    <col width="20.140625" customWidth="1" min="12" max="12"/>
    <col width="19.85546875" customWidth="1" min="13" max="13"/>
    <col width="22.140625" customWidth="1" min="14" max="14"/>
  </cols>
  <sheetData>
    <row r="1">
      <c r="A1" t="inlineStr">
        <is>
          <t>ID</t>
        </is>
      </c>
      <c r="B1" t="inlineStr">
        <is>
          <t>Creado</t>
        </is>
      </c>
      <c r="C1" t="inlineStr">
        <is>
          <t>RNC / Cédula</t>
        </is>
      </c>
      <c r="D1" t="inlineStr">
        <is>
          <t>Nombre o Razón Social</t>
        </is>
      </c>
      <c r="E1" t="inlineStr">
        <is>
          <t>Tipo de Contribuyente</t>
        </is>
      </c>
      <c r="F1" t="inlineStr">
        <is>
          <t>Asunto / Trámite</t>
        </is>
      </c>
      <c r="G1" t="inlineStr">
        <is>
          <t>Fecha del documento</t>
        </is>
      </c>
      <c r="H1" t="inlineStr">
        <is>
          <t>Fecha de recepción</t>
        </is>
      </c>
      <c r="I1" t="inlineStr">
        <is>
          <t>Tipo de Solicitud</t>
        </is>
      </c>
      <c r="J1" t="inlineStr">
        <is>
          <t>Solicitante</t>
        </is>
      </c>
      <c r="K1" t="inlineStr">
        <is>
          <t>Estado</t>
        </is>
      </c>
      <c r="L1" t="inlineStr">
        <is>
          <t>Condición</t>
        </is>
      </c>
      <c r="M1" t="inlineStr">
        <is>
          <t>Modificado</t>
        </is>
      </c>
      <c r="N1" t="inlineStr">
        <is>
          <t>Modificado por</t>
        </is>
      </c>
    </row>
    <row r="2">
      <c r="A2" s="142" t="n"/>
      <c r="B2" s="7" t="n"/>
      <c r="C2" s="142" t="n"/>
      <c r="D2" s="142" t="n"/>
      <c r="E2" s="142" t="n"/>
      <c r="F2" s="142" t="n"/>
      <c r="G2" s="143" t="n"/>
      <c r="H2" s="143" t="n"/>
      <c r="I2" s="142" t="n"/>
      <c r="J2" s="142" t="n"/>
      <c r="K2" s="142" t="n"/>
      <c r="L2" s="142" t="n"/>
      <c r="M2" s="7" t="n"/>
      <c r="N2" s="142" t="n"/>
    </row>
    <row r="3">
      <c r="A3" s="142" t="n"/>
      <c r="B3" s="7" t="n"/>
      <c r="C3" s="142" t="n"/>
      <c r="D3" s="142" t="n"/>
      <c r="E3" s="142" t="n"/>
      <c r="F3" s="142" t="n"/>
      <c r="G3" s="143" t="n"/>
      <c r="H3" s="143" t="n"/>
      <c r="I3" s="142" t="n"/>
      <c r="J3" s="142" t="n"/>
      <c r="K3" s="142" t="n"/>
      <c r="L3" s="142" t="n"/>
      <c r="M3" s="7" t="n"/>
      <c r="N3" s="142" t="n"/>
    </row>
    <row r="4">
      <c r="A4" s="142" t="n"/>
      <c r="B4" s="7" t="n"/>
      <c r="C4" s="142" t="n"/>
      <c r="D4" s="142" t="n"/>
      <c r="E4" s="142" t="n"/>
      <c r="F4" s="142" t="n"/>
      <c r="G4" s="143" t="n"/>
      <c r="H4" s="143" t="n"/>
      <c r="I4" s="142" t="n"/>
      <c r="J4" s="142" t="n"/>
      <c r="K4" s="142" t="n"/>
      <c r="L4" s="142" t="n"/>
      <c r="M4" s="7" t="n"/>
      <c r="N4" s="142" t="n"/>
    </row>
    <row r="5">
      <c r="A5" s="142" t="n"/>
      <c r="B5" s="7" t="n"/>
      <c r="C5" s="142" t="n"/>
      <c r="D5" s="142" t="n"/>
      <c r="E5" s="142" t="n"/>
      <c r="F5" s="142" t="n"/>
      <c r="G5" s="143" t="n"/>
      <c r="H5" s="143" t="n"/>
      <c r="I5" s="142" t="n"/>
      <c r="J5" s="142" t="n"/>
      <c r="K5" s="142" t="n"/>
      <c r="L5" s="142" t="n"/>
      <c r="M5" s="7" t="n"/>
      <c r="N5" s="142" t="n"/>
    </row>
    <row r="6">
      <c r="A6" s="142" t="n"/>
      <c r="B6" s="7" t="n"/>
      <c r="C6" s="142" t="n"/>
      <c r="D6" s="142" t="n"/>
      <c r="E6" s="142" t="n"/>
      <c r="F6" s="142" t="n"/>
      <c r="G6" s="143" t="n"/>
      <c r="H6" s="143" t="n"/>
      <c r="I6" s="142" t="n"/>
      <c r="J6" s="142" t="n"/>
      <c r="K6" s="142" t="n"/>
      <c r="L6" s="142" t="n"/>
      <c r="M6" s="7" t="n"/>
      <c r="N6" s="142" t="n"/>
    </row>
    <row r="7">
      <c r="A7" s="142" t="n"/>
      <c r="B7" s="7" t="n"/>
      <c r="C7" s="142" t="n"/>
      <c r="D7" s="142" t="n"/>
      <c r="E7" s="142" t="n"/>
      <c r="F7" s="142" t="n"/>
      <c r="G7" s="143" t="n"/>
      <c r="H7" s="143" t="n"/>
      <c r="I7" s="142" t="n"/>
      <c r="J7" s="142" t="n"/>
      <c r="K7" s="142" t="n"/>
      <c r="L7" s="142" t="n"/>
      <c r="M7" s="7" t="n"/>
      <c r="N7" s="142" t="n"/>
    </row>
    <row r="8">
      <c r="A8" s="142" t="n"/>
      <c r="B8" s="7" t="n"/>
      <c r="C8" s="142" t="n"/>
      <c r="D8" s="142" t="n"/>
      <c r="E8" s="142" t="n"/>
      <c r="F8" s="142" t="n"/>
      <c r="G8" s="143" t="n"/>
      <c r="H8" s="143" t="n"/>
      <c r="I8" s="142" t="n"/>
      <c r="J8" s="142" t="n"/>
      <c r="K8" s="142" t="n"/>
      <c r="L8" s="142" t="n"/>
      <c r="M8" s="7" t="n"/>
      <c r="N8" s="142" t="n"/>
    </row>
    <row r="9">
      <c r="A9" s="142" t="n"/>
      <c r="B9" s="7" t="n"/>
      <c r="C9" s="142" t="n"/>
      <c r="D9" s="142" t="n"/>
      <c r="E9" s="142" t="n"/>
      <c r="F9" s="142" t="n"/>
      <c r="G9" s="143" t="n"/>
      <c r="H9" s="143" t="n"/>
      <c r="I9" s="142" t="n"/>
      <c r="J9" s="142" t="n"/>
      <c r="K9" s="142" t="n"/>
      <c r="L9" s="142" t="n"/>
      <c r="M9" s="7" t="n"/>
      <c r="N9" s="142" t="n"/>
    </row>
    <row r="10">
      <c r="A10" s="142" t="n"/>
      <c r="B10" s="7" t="n"/>
      <c r="C10" s="142" t="n"/>
      <c r="D10" s="142" t="n"/>
      <c r="E10" s="142" t="n"/>
      <c r="F10" s="142" t="n"/>
      <c r="G10" s="143" t="n"/>
      <c r="H10" s="143" t="n"/>
      <c r="I10" s="142" t="n"/>
      <c r="J10" s="142" t="n"/>
      <c r="K10" s="142" t="n"/>
      <c r="L10" s="142" t="n"/>
      <c r="M10" s="7" t="n"/>
      <c r="N10" s="142" t="n"/>
    </row>
    <row r="11">
      <c r="A11" s="142" t="n"/>
      <c r="B11" s="7" t="n"/>
      <c r="C11" s="142" t="n"/>
      <c r="D11" s="142" t="n"/>
      <c r="E11" s="142" t="n"/>
      <c r="F11" s="142" t="n"/>
      <c r="G11" s="143" t="n"/>
      <c r="H11" s="143" t="n"/>
      <c r="I11" s="142" t="n"/>
      <c r="J11" s="142" t="n"/>
      <c r="K11" s="142" t="n"/>
      <c r="L11" s="142" t="n"/>
      <c r="M11" s="7" t="n"/>
      <c r="N11" s="142" t="n"/>
    </row>
    <row r="12">
      <c r="A12" s="142" t="n"/>
      <c r="B12" s="7" t="n"/>
      <c r="C12" s="142" t="n"/>
      <c r="D12" s="142" t="n"/>
      <c r="E12" s="142" t="n"/>
      <c r="F12" s="142" t="n"/>
      <c r="G12" s="143" t="n"/>
      <c r="H12" s="143" t="n"/>
      <c r="I12" s="142" t="n"/>
      <c r="J12" s="142" t="n"/>
      <c r="K12" s="142" t="n"/>
      <c r="L12" s="142" t="n"/>
      <c r="M12" s="7" t="n"/>
      <c r="N12" s="142" t="n"/>
    </row>
    <row r="13">
      <c r="A13" s="142" t="n"/>
      <c r="B13" s="7" t="n"/>
      <c r="C13" s="142" t="n"/>
      <c r="D13" s="142" t="n"/>
      <c r="E13" s="142" t="n"/>
      <c r="F13" s="142" t="n"/>
      <c r="G13" s="143" t="n"/>
      <c r="H13" s="143" t="n"/>
      <c r="I13" s="142" t="n"/>
      <c r="J13" s="142" t="n"/>
      <c r="K13" s="142" t="n"/>
      <c r="L13" s="142" t="n"/>
      <c r="M13" s="7" t="n"/>
      <c r="N13" s="142" t="n"/>
    </row>
    <row r="14">
      <c r="A14" s="142" t="n"/>
      <c r="B14" s="7" t="n"/>
      <c r="C14" s="142" t="n"/>
      <c r="D14" s="142" t="n"/>
      <c r="E14" s="142" t="n"/>
      <c r="F14" s="142" t="n"/>
      <c r="G14" s="143" t="n"/>
      <c r="H14" s="143" t="n"/>
      <c r="I14" s="142" t="n"/>
      <c r="J14" s="142" t="n"/>
      <c r="K14" s="142" t="n"/>
      <c r="L14" s="142" t="n"/>
      <c r="M14" s="7" t="n"/>
      <c r="N14" s="142" t="n"/>
    </row>
    <row r="15">
      <c r="A15" s="142" t="n"/>
      <c r="B15" s="7" t="n"/>
      <c r="C15" s="142" t="n"/>
      <c r="D15" s="142" t="n"/>
      <c r="E15" s="142" t="n"/>
      <c r="F15" s="142" t="n"/>
      <c r="G15" s="143" t="n"/>
      <c r="H15" s="143" t="n"/>
      <c r="I15" s="142" t="n"/>
      <c r="J15" s="142" t="n"/>
      <c r="K15" s="142" t="n"/>
      <c r="L15" s="142" t="n"/>
      <c r="M15" s="7" t="n"/>
      <c r="N15" s="142" t="n"/>
    </row>
    <row r="16">
      <c r="A16" s="142" t="n"/>
      <c r="B16" s="7" t="n"/>
      <c r="C16" s="142" t="n"/>
      <c r="D16" s="142" t="n"/>
      <c r="E16" s="142" t="n"/>
      <c r="F16" s="142" t="n"/>
      <c r="G16" s="143" t="n"/>
      <c r="H16" s="143" t="n"/>
      <c r="I16" s="142" t="n"/>
      <c r="J16" s="142" t="n"/>
      <c r="K16" s="142" t="n"/>
      <c r="L16" s="142" t="n"/>
      <c r="M16" s="7" t="n"/>
      <c r="N16" s="142" t="n"/>
    </row>
    <row r="17">
      <c r="A17" s="142" t="n"/>
      <c r="B17" s="7" t="n"/>
      <c r="C17" s="142" t="n"/>
      <c r="D17" s="142" t="n"/>
      <c r="E17" s="142" t="n"/>
      <c r="F17" s="142" t="n"/>
      <c r="G17" s="143" t="n"/>
      <c r="H17" s="143" t="n"/>
      <c r="I17" s="142" t="n"/>
      <c r="J17" s="142" t="n"/>
      <c r="K17" s="142" t="n"/>
      <c r="L17" s="142" t="n"/>
      <c r="M17" s="7" t="n"/>
      <c r="N17" s="142" t="n"/>
    </row>
    <row r="18">
      <c r="A18" s="142" t="n"/>
      <c r="B18" s="7" t="n"/>
      <c r="C18" s="142" t="n"/>
      <c r="D18" s="142" t="n"/>
      <c r="E18" s="142" t="n"/>
      <c r="F18" s="142" t="n"/>
      <c r="G18" s="143" t="n"/>
      <c r="H18" s="143" t="n"/>
      <c r="I18" s="142" t="n"/>
      <c r="J18" s="142" t="n"/>
      <c r="K18" s="142" t="n"/>
      <c r="L18" s="142" t="n"/>
      <c r="M18" s="7" t="n"/>
      <c r="N18" s="142" t="n"/>
    </row>
    <row r="19">
      <c r="A19" s="142" t="n"/>
      <c r="B19" s="7" t="n"/>
      <c r="C19" s="142" t="n"/>
      <c r="D19" s="142" t="n"/>
      <c r="E19" s="142" t="n"/>
      <c r="F19" s="142" t="n"/>
      <c r="G19" s="143" t="n"/>
      <c r="H19" s="143" t="n"/>
      <c r="I19" s="142" t="n"/>
      <c r="J19" s="142" t="n"/>
      <c r="K19" s="142" t="n"/>
      <c r="L19" s="142" t="n"/>
      <c r="M19" s="7" t="n"/>
      <c r="N19" s="142" t="n"/>
    </row>
    <row r="20">
      <c r="A20" s="142" t="n"/>
      <c r="B20" s="7" t="n"/>
      <c r="C20" s="142" t="n"/>
      <c r="D20" s="142" t="n"/>
      <c r="E20" s="142" t="n"/>
      <c r="F20" s="142" t="n"/>
      <c r="G20" s="143" t="n"/>
      <c r="H20" s="143" t="n"/>
      <c r="I20" s="142" t="n"/>
      <c r="J20" s="142" t="n"/>
      <c r="K20" s="142" t="n"/>
      <c r="L20" s="142" t="n"/>
      <c r="M20" s="7" t="n"/>
      <c r="N20" s="142" t="n"/>
    </row>
    <row r="21">
      <c r="A21" s="142" t="n"/>
      <c r="B21" s="7" t="n"/>
      <c r="C21" s="142" t="n"/>
      <c r="D21" s="142" t="n"/>
      <c r="E21" s="142" t="n"/>
      <c r="F21" s="142" t="n"/>
      <c r="G21" s="143" t="n"/>
      <c r="H21" s="143" t="n"/>
      <c r="I21" s="142" t="n"/>
      <c r="J21" s="142" t="n"/>
      <c r="K21" s="142" t="n"/>
      <c r="L21" s="142" t="n"/>
      <c r="M21" s="7" t="n"/>
      <c r="N21" s="142" t="n"/>
    </row>
    <row r="22">
      <c r="A22" s="142" t="n"/>
      <c r="B22" s="7" t="n"/>
      <c r="C22" s="142" t="n"/>
      <c r="D22" s="142" t="n"/>
      <c r="E22" s="142" t="n"/>
      <c r="F22" s="142" t="n"/>
      <c r="G22" s="143" t="n"/>
      <c r="H22" s="143" t="n"/>
      <c r="I22" s="142" t="n"/>
      <c r="J22" s="142" t="n"/>
      <c r="K22" s="142" t="n"/>
      <c r="L22" s="142" t="n"/>
      <c r="M22" s="7" t="n"/>
      <c r="N22" s="142" t="n"/>
    </row>
    <row r="23">
      <c r="A23" s="142" t="n"/>
      <c r="B23" s="7" t="n"/>
      <c r="C23" s="142" t="n"/>
      <c r="D23" s="142" t="n"/>
      <c r="E23" s="142" t="n"/>
      <c r="F23" s="142" t="n"/>
      <c r="G23" s="143" t="n"/>
      <c r="H23" s="143" t="n"/>
      <c r="I23" s="142" t="n"/>
      <c r="J23" s="142" t="n"/>
      <c r="K23" s="142" t="n"/>
      <c r="L23" s="142" t="n"/>
      <c r="M23" s="7" t="n"/>
      <c r="N23" s="142" t="n"/>
    </row>
    <row r="24">
      <c r="A24" s="142" t="n"/>
      <c r="B24" s="7" t="n"/>
      <c r="C24" s="142" t="n"/>
      <c r="D24" s="142" t="n"/>
      <c r="E24" s="142" t="n"/>
      <c r="F24" s="142" t="n"/>
      <c r="G24" s="143" t="n"/>
      <c r="H24" s="143" t="n"/>
      <c r="I24" s="142" t="n"/>
      <c r="J24" s="142" t="n"/>
      <c r="K24" s="142" t="n"/>
      <c r="L24" s="142" t="n"/>
      <c r="M24" s="7" t="n"/>
      <c r="N24" s="142" t="n"/>
    </row>
    <row r="25">
      <c r="A25" s="142" t="n"/>
      <c r="B25" s="7" t="n"/>
      <c r="C25" s="142" t="n"/>
      <c r="D25" s="142" t="n"/>
      <c r="E25" s="142" t="n"/>
      <c r="F25" s="142" t="n"/>
      <c r="G25" s="143" t="n"/>
      <c r="H25" s="143" t="n"/>
      <c r="I25" s="142" t="n"/>
      <c r="J25" s="142" t="n"/>
      <c r="K25" s="142" t="n"/>
      <c r="L25" s="142" t="n"/>
      <c r="M25" s="7" t="n"/>
      <c r="N25" s="142" t="n"/>
    </row>
    <row r="26">
      <c r="A26" s="142" t="n"/>
      <c r="B26" s="7" t="n"/>
      <c r="C26" s="142" t="n"/>
      <c r="D26" s="142" t="n"/>
      <c r="E26" s="142" t="n"/>
      <c r="F26" s="142" t="n"/>
      <c r="G26" s="143" t="n"/>
      <c r="H26" s="143" t="n"/>
      <c r="I26" s="142" t="n"/>
      <c r="J26" s="142" t="n"/>
      <c r="K26" s="142" t="n"/>
      <c r="L26" s="142" t="n"/>
      <c r="M26" s="7" t="n"/>
      <c r="N26" s="14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N65"/>
  <sheetViews>
    <sheetView topLeftCell="A36" workbookViewId="0">
      <selection activeCell="J15" sqref="J15"/>
    </sheetView>
  </sheetViews>
  <sheetFormatPr baseColWidth="8" defaultRowHeight="15"/>
  <cols>
    <col width="9.5703125" customWidth="1" min="1" max="1"/>
    <col width="24" customWidth="1" min="2" max="2"/>
    <col width="18.42578125" customWidth="1" min="3" max="3"/>
    <col width="28.85546875" customWidth="1" min="4" max="4"/>
    <col width="22" customWidth="1" min="5" max="5"/>
    <col width="31.7109375" customWidth="1" min="6" max="6"/>
    <col width="22.85546875" bestFit="1" customWidth="1" min="7" max="7"/>
    <col width="21" bestFit="1" customWidth="1" min="8" max="8"/>
    <col width="18.28515625" bestFit="1" customWidth="1" min="9" max="9"/>
    <col width="25.28515625" customWidth="1" min="10" max="10"/>
    <col width="9.5703125" bestFit="1" customWidth="1" min="11" max="11"/>
    <col width="26.28515625" customWidth="1" min="12" max="12"/>
    <col width="16.140625" customWidth="1" min="13" max="13"/>
    <col width="28.5703125" customWidth="1" min="14" max="14"/>
  </cols>
  <sheetData>
    <row r="1">
      <c r="A1" t="inlineStr">
        <is>
          <t>ID</t>
        </is>
      </c>
      <c r="B1" t="inlineStr">
        <is>
          <t>Creado</t>
        </is>
      </c>
      <c r="C1" t="inlineStr">
        <is>
          <t>RNC / Cédula</t>
        </is>
      </c>
      <c r="D1" t="inlineStr">
        <is>
          <t>Nombre o Razón Social</t>
        </is>
      </c>
      <c r="E1" t="inlineStr">
        <is>
          <t>Tipo de Contribuyente</t>
        </is>
      </c>
      <c r="F1" t="inlineStr">
        <is>
          <t>Asunto / Trámite</t>
        </is>
      </c>
      <c r="G1" t="inlineStr">
        <is>
          <t>Fecha del documento</t>
        </is>
      </c>
      <c r="H1" t="inlineStr">
        <is>
          <t>Fecha de recepción</t>
        </is>
      </c>
      <c r="I1" t="inlineStr">
        <is>
          <t>Tipo de Solicitud</t>
        </is>
      </c>
      <c r="J1" t="inlineStr">
        <is>
          <t>Solicitante</t>
        </is>
      </c>
      <c r="K1" t="inlineStr">
        <is>
          <t>Estado</t>
        </is>
      </c>
      <c r="L1" t="inlineStr">
        <is>
          <t>Condición</t>
        </is>
      </c>
      <c r="M1" t="inlineStr">
        <is>
          <t>Modificado</t>
        </is>
      </c>
      <c r="N1" t="inlineStr">
        <is>
          <t>Modificado por</t>
        </is>
      </c>
    </row>
    <row r="2">
      <c r="A2" s="142" t="n"/>
      <c r="B2" s="7" t="n"/>
      <c r="C2" s="142" t="n"/>
      <c r="D2" s="142" t="n"/>
      <c r="E2" s="142" t="n"/>
      <c r="F2" s="142" t="n"/>
      <c r="G2" s="143" t="n"/>
      <c r="H2" s="143" t="n"/>
      <c r="I2" s="142" t="n"/>
      <c r="J2" s="142" t="n"/>
      <c r="K2" s="142" t="n"/>
      <c r="L2" s="142" t="n"/>
      <c r="M2" s="7" t="n"/>
      <c r="N2" s="142" t="n"/>
    </row>
    <row r="3">
      <c r="A3" s="142" t="n"/>
      <c r="B3" s="7" t="n"/>
      <c r="C3" s="142" t="n"/>
      <c r="D3" s="142" t="n"/>
      <c r="E3" s="142" t="n"/>
      <c r="F3" s="142" t="n"/>
      <c r="G3" s="143" t="n"/>
      <c r="H3" s="143" t="n"/>
      <c r="I3" s="142" t="n"/>
      <c r="J3" s="142" t="n"/>
      <c r="K3" s="142" t="n"/>
      <c r="L3" s="142" t="n"/>
      <c r="M3" s="7" t="n"/>
      <c r="N3" s="142" t="n"/>
    </row>
    <row r="4">
      <c r="A4" s="142" t="n"/>
      <c r="B4" s="7" t="n"/>
      <c r="C4" s="142" t="n"/>
      <c r="D4" s="142" t="n"/>
      <c r="E4" s="142" t="n"/>
      <c r="F4" s="142" t="n"/>
      <c r="G4" s="143" t="n"/>
      <c r="H4" s="143" t="n"/>
      <c r="I4" s="142" t="n"/>
      <c r="J4" s="142" t="n"/>
      <c r="K4" s="142" t="n"/>
      <c r="L4" s="142" t="n"/>
      <c r="M4" s="7" t="n"/>
      <c r="N4" s="142" t="n"/>
    </row>
    <row r="5">
      <c r="A5" s="142" t="n"/>
      <c r="B5" s="7" t="n"/>
      <c r="C5" s="142" t="n"/>
      <c r="D5" s="142" t="n"/>
      <c r="E5" s="142" t="n"/>
      <c r="F5" s="142" t="n"/>
      <c r="G5" s="143" t="n"/>
      <c r="H5" s="143" t="n"/>
      <c r="I5" s="142" t="n"/>
      <c r="J5" s="142" t="n"/>
      <c r="K5" s="142" t="n"/>
      <c r="L5" s="142" t="n"/>
      <c r="M5" s="7" t="n"/>
      <c r="N5" s="142" t="n"/>
    </row>
    <row r="6">
      <c r="A6" s="142" t="n"/>
      <c r="B6" s="7" t="n"/>
      <c r="C6" s="142" t="n"/>
      <c r="D6" s="142" t="n"/>
      <c r="E6" s="142" t="n"/>
      <c r="F6" s="142" t="n"/>
      <c r="G6" s="143" t="n"/>
      <c r="H6" s="143" t="n"/>
      <c r="I6" s="142" t="n"/>
      <c r="J6" s="142" t="n"/>
      <c r="K6" s="142" t="n"/>
      <c r="L6" s="142" t="n"/>
      <c r="M6" s="7" t="n"/>
      <c r="N6" s="142" t="n"/>
    </row>
    <row r="7">
      <c r="A7" s="142" t="n"/>
      <c r="B7" s="7" t="n"/>
      <c r="C7" s="142" t="n"/>
      <c r="D7" s="142" t="n"/>
      <c r="E7" s="142" t="n"/>
      <c r="F7" s="142" t="n"/>
      <c r="G7" s="143" t="n"/>
      <c r="H7" s="143" t="n"/>
      <c r="I7" s="142" t="n"/>
      <c r="J7" s="142" t="n"/>
      <c r="K7" s="142" t="n"/>
      <c r="L7" s="142" t="n"/>
      <c r="M7" s="7" t="n"/>
      <c r="N7" s="142" t="n"/>
    </row>
    <row r="8">
      <c r="A8" s="142" t="n"/>
      <c r="B8" s="7" t="n"/>
      <c r="C8" s="142" t="n"/>
      <c r="D8" s="142" t="n"/>
      <c r="E8" s="142" t="n"/>
      <c r="F8" s="142" t="n"/>
      <c r="G8" s="143" t="n"/>
      <c r="H8" s="143" t="n"/>
      <c r="I8" s="142" t="n"/>
      <c r="J8" s="142" t="n"/>
      <c r="K8" s="142" t="n"/>
      <c r="L8" s="142" t="n"/>
      <c r="M8" s="7" t="n"/>
      <c r="N8" s="142" t="n"/>
    </row>
    <row r="9">
      <c r="A9" s="142" t="n"/>
      <c r="B9" s="7" t="n"/>
      <c r="C9" s="142" t="n"/>
      <c r="D9" s="142" t="n"/>
      <c r="E9" s="142" t="n"/>
      <c r="F9" s="142" t="n"/>
      <c r="G9" s="143" t="n"/>
      <c r="H9" s="143" t="n"/>
      <c r="I9" s="142" t="n"/>
      <c r="J9" s="142" t="n"/>
      <c r="K9" s="142" t="n"/>
      <c r="L9" s="142" t="n"/>
      <c r="M9" s="7" t="n"/>
      <c r="N9" s="142" t="n"/>
    </row>
    <row r="10">
      <c r="A10" s="142" t="n"/>
      <c r="B10" s="7" t="n"/>
      <c r="C10" s="142" t="n"/>
      <c r="D10" s="142" t="n"/>
      <c r="E10" s="142" t="n"/>
      <c r="F10" s="142" t="n"/>
      <c r="G10" s="143" t="n"/>
      <c r="H10" s="143" t="n"/>
      <c r="I10" s="142" t="n"/>
      <c r="J10" s="142" t="n"/>
      <c r="K10" s="142" t="n"/>
      <c r="L10" s="142" t="n"/>
      <c r="M10" s="7" t="n"/>
      <c r="N10" s="142" t="n"/>
    </row>
    <row r="11">
      <c r="A11" s="142" t="n"/>
      <c r="B11" s="7" t="n"/>
      <c r="C11" s="142" t="n"/>
      <c r="D11" s="142" t="n"/>
      <c r="E11" s="142" t="n"/>
      <c r="F11" s="142" t="n"/>
      <c r="G11" s="143" t="n"/>
      <c r="H11" s="143" t="n"/>
      <c r="I11" s="142" t="n"/>
      <c r="J11" s="142" t="n"/>
      <c r="K11" s="142" t="n"/>
      <c r="L11" s="142" t="n"/>
      <c r="M11" s="7" t="n"/>
      <c r="N11" s="142" t="n"/>
    </row>
    <row r="12">
      <c r="A12" s="142" t="n"/>
      <c r="B12" s="7" t="n"/>
      <c r="C12" s="142" t="n"/>
      <c r="D12" s="142" t="n"/>
      <c r="E12" s="142" t="n"/>
      <c r="F12" s="142" t="n"/>
      <c r="G12" s="143" t="n"/>
      <c r="H12" s="143" t="n"/>
      <c r="I12" s="142" t="n"/>
      <c r="J12" s="142" t="n"/>
      <c r="K12" s="142" t="n"/>
      <c r="L12" s="142" t="n"/>
      <c r="M12" s="7" t="n"/>
      <c r="N12" s="142" t="n"/>
    </row>
    <row r="13">
      <c r="A13" s="142" t="n"/>
      <c r="B13" s="7" t="n"/>
      <c r="C13" s="142" t="n"/>
      <c r="D13" s="142" t="n"/>
      <c r="E13" s="142" t="n"/>
      <c r="F13" s="142" t="n"/>
      <c r="G13" s="143" t="n"/>
      <c r="H13" s="143" t="n"/>
      <c r="I13" s="142" t="n"/>
      <c r="J13" s="142" t="n"/>
      <c r="K13" s="142" t="n"/>
      <c r="L13" s="142" t="n"/>
      <c r="M13" s="7" t="n"/>
      <c r="N13" s="142" t="n"/>
    </row>
    <row r="14">
      <c r="A14" s="142" t="n"/>
      <c r="B14" s="7" t="n"/>
      <c r="C14" s="142" t="n"/>
      <c r="D14" s="142" t="n"/>
      <c r="E14" s="142" t="n"/>
      <c r="F14" s="142" t="n"/>
      <c r="G14" s="143" t="n"/>
      <c r="H14" s="143" t="n"/>
      <c r="I14" s="142" t="n"/>
      <c r="J14" s="142" t="n"/>
      <c r="K14" s="142" t="n"/>
      <c r="L14" s="142" t="n"/>
      <c r="M14" s="7" t="n"/>
      <c r="N14" s="142" t="n"/>
    </row>
    <row r="15">
      <c r="A15" s="142" t="n"/>
      <c r="B15" s="7" t="n"/>
      <c r="C15" s="142" t="n"/>
      <c r="D15" s="142" t="n"/>
      <c r="E15" s="142" t="n"/>
      <c r="F15" s="142" t="n"/>
      <c r="G15" s="143" t="n"/>
      <c r="H15" s="143" t="n"/>
      <c r="I15" s="142" t="n"/>
      <c r="J15" s="142" t="n"/>
      <c r="K15" s="142" t="n"/>
      <c r="L15" s="142" t="n"/>
      <c r="M15" s="7" t="n"/>
      <c r="N15" s="142" t="n"/>
    </row>
    <row r="16">
      <c r="A16" s="142" t="n"/>
      <c r="B16" s="7" t="n"/>
      <c r="C16" s="142" t="n"/>
      <c r="D16" s="142" t="n"/>
      <c r="E16" s="142" t="n"/>
      <c r="F16" s="142" t="n"/>
      <c r="G16" s="143" t="n"/>
      <c r="H16" s="143" t="n"/>
      <c r="I16" s="142" t="n"/>
      <c r="J16" s="142" t="n"/>
      <c r="K16" s="142" t="n"/>
      <c r="L16" s="142" t="n"/>
      <c r="M16" s="7" t="n"/>
      <c r="N16" s="142" t="n"/>
    </row>
    <row r="17">
      <c r="A17" s="142" t="n"/>
      <c r="B17" s="7" t="n"/>
      <c r="C17" s="142" t="n"/>
      <c r="D17" s="142" t="n"/>
      <c r="E17" s="142" t="n"/>
      <c r="F17" s="142" t="n"/>
      <c r="G17" s="143" t="n"/>
      <c r="H17" s="143" t="n"/>
      <c r="I17" s="142" t="n"/>
      <c r="J17" s="142" t="n"/>
      <c r="K17" s="142" t="n"/>
      <c r="L17" s="142" t="n"/>
      <c r="M17" s="7" t="n"/>
      <c r="N17" s="142" t="n"/>
    </row>
    <row r="18">
      <c r="A18" s="142" t="n"/>
      <c r="B18" s="7" t="n"/>
      <c r="C18" s="142" t="n"/>
      <c r="D18" s="142" t="n"/>
      <c r="E18" s="142" t="n"/>
      <c r="F18" s="142" t="n"/>
      <c r="G18" s="143" t="n"/>
      <c r="H18" s="143" t="n"/>
      <c r="I18" s="142" t="n"/>
      <c r="J18" s="142" t="n"/>
      <c r="K18" s="142" t="n"/>
      <c r="L18" s="142" t="n"/>
      <c r="M18" s="7" t="n"/>
      <c r="N18" s="142" t="n"/>
    </row>
    <row r="19">
      <c r="A19" s="142" t="n"/>
      <c r="B19" s="7" t="n"/>
      <c r="C19" s="142" t="n"/>
      <c r="D19" s="142" t="n"/>
      <c r="E19" s="142" t="n"/>
      <c r="F19" s="142" t="n"/>
      <c r="G19" s="143" t="n"/>
      <c r="H19" s="143" t="n"/>
      <c r="I19" s="142" t="n"/>
      <c r="J19" s="142" t="n"/>
      <c r="K19" s="142" t="n"/>
      <c r="L19" s="142" t="n"/>
      <c r="M19" s="7" t="n"/>
      <c r="N19" s="142" t="n"/>
    </row>
    <row r="20">
      <c r="A20" s="142" t="n"/>
      <c r="B20" s="7" t="n"/>
      <c r="C20" s="142" t="n"/>
      <c r="D20" s="142" t="n"/>
      <c r="E20" s="142" t="n"/>
      <c r="F20" s="142" t="n"/>
      <c r="G20" s="143" t="n"/>
      <c r="H20" s="143" t="n"/>
      <c r="I20" s="142" t="n"/>
      <c r="J20" s="142" t="n"/>
      <c r="K20" s="142" t="n"/>
      <c r="L20" s="142" t="n"/>
      <c r="M20" s="7" t="n"/>
      <c r="N20" s="142" t="n"/>
    </row>
    <row r="21">
      <c r="A21" s="142" t="n"/>
      <c r="B21" s="7" t="n"/>
      <c r="C21" s="142" t="n"/>
      <c r="D21" s="142" t="n"/>
      <c r="E21" s="142" t="n"/>
      <c r="F21" s="142" t="n"/>
      <c r="G21" s="143" t="n"/>
      <c r="H21" s="143" t="n"/>
      <c r="I21" s="142" t="n"/>
      <c r="J21" s="142" t="n"/>
      <c r="K21" s="142" t="n"/>
      <c r="L21" s="142" t="n"/>
      <c r="M21" s="7" t="n"/>
      <c r="N21" s="142" t="n"/>
    </row>
    <row r="22">
      <c r="A22" s="142" t="n"/>
      <c r="B22" s="7" t="n"/>
      <c r="C22" s="142" t="n"/>
      <c r="D22" s="142" t="n"/>
      <c r="E22" s="142" t="n"/>
      <c r="F22" s="142" t="n"/>
      <c r="G22" s="143" t="n"/>
      <c r="H22" s="143" t="n"/>
      <c r="I22" s="142" t="n"/>
      <c r="J22" s="142" t="n"/>
      <c r="K22" s="142" t="n"/>
      <c r="L22" s="142" t="n"/>
      <c r="M22" s="7" t="n"/>
      <c r="N22" s="142" t="n"/>
    </row>
    <row r="23">
      <c r="A23" s="142" t="n"/>
      <c r="B23" s="7" t="n"/>
      <c r="C23" s="142" t="n"/>
      <c r="D23" s="142" t="n"/>
      <c r="E23" s="142" t="n"/>
      <c r="F23" s="142" t="n"/>
      <c r="G23" s="143" t="n"/>
      <c r="H23" s="143" t="n"/>
      <c r="I23" s="142" t="n"/>
      <c r="J23" s="142" t="n"/>
      <c r="K23" s="142" t="n"/>
      <c r="L23" s="142" t="n"/>
      <c r="M23" s="7" t="n"/>
      <c r="N23" s="142" t="n"/>
    </row>
    <row r="24">
      <c r="A24" s="142" t="n"/>
      <c r="B24" s="7" t="n"/>
      <c r="C24" s="142" t="n"/>
      <c r="D24" s="142" t="n"/>
      <c r="E24" s="142" t="n"/>
      <c r="F24" s="142" t="n"/>
      <c r="G24" s="143" t="n"/>
      <c r="H24" s="143" t="n"/>
      <c r="I24" s="142" t="n"/>
      <c r="J24" s="142" t="n"/>
      <c r="K24" s="142" t="n"/>
      <c r="L24" s="142" t="n"/>
      <c r="M24" s="7" t="n"/>
      <c r="N24" s="142" t="n"/>
    </row>
    <row r="25">
      <c r="A25" s="142" t="n"/>
      <c r="B25" s="7" t="n"/>
      <c r="C25" s="142" t="n"/>
      <c r="D25" s="142" t="n"/>
      <c r="E25" s="142" t="n"/>
      <c r="F25" s="142" t="n"/>
      <c r="G25" s="143" t="n"/>
      <c r="H25" s="143" t="n"/>
      <c r="I25" s="142" t="n"/>
      <c r="J25" s="142" t="n"/>
      <c r="K25" s="142" t="n"/>
      <c r="L25" s="142" t="n"/>
      <c r="M25" s="7" t="n"/>
      <c r="N25" s="142" t="n"/>
    </row>
    <row r="26">
      <c r="A26" s="142" t="n"/>
      <c r="B26" s="7" t="n"/>
      <c r="C26" s="142" t="n"/>
      <c r="D26" s="142" t="n"/>
      <c r="E26" s="142" t="n"/>
      <c r="F26" s="142" t="n"/>
      <c r="G26" s="143" t="n"/>
      <c r="H26" s="143" t="n"/>
      <c r="I26" s="142" t="n"/>
      <c r="J26" s="142" t="n"/>
      <c r="K26" s="142" t="n"/>
      <c r="L26" s="142" t="n"/>
      <c r="M26" s="7" t="n"/>
      <c r="N26" s="142" t="n"/>
    </row>
    <row r="27">
      <c r="A27" s="142" t="n"/>
      <c r="B27" s="7" t="n"/>
      <c r="C27" s="142" t="n"/>
      <c r="D27" s="142" t="n"/>
      <c r="E27" s="142" t="n"/>
      <c r="F27" s="142" t="n"/>
      <c r="G27" s="143" t="n"/>
      <c r="H27" s="143" t="n"/>
      <c r="I27" s="142" t="n"/>
      <c r="J27" s="142" t="n"/>
      <c r="K27" s="142" t="n"/>
      <c r="L27" s="142" t="n"/>
      <c r="M27" s="7" t="n"/>
      <c r="N27" s="142" t="n"/>
    </row>
    <row r="28">
      <c r="A28" s="142" t="n"/>
      <c r="B28" s="7" t="n"/>
      <c r="C28" s="142" t="n"/>
      <c r="D28" s="142" t="n"/>
      <c r="E28" s="142" t="n"/>
      <c r="F28" s="142" t="n"/>
      <c r="G28" s="143" t="n"/>
      <c r="H28" s="143" t="n"/>
      <c r="I28" s="142" t="n"/>
      <c r="J28" s="142" t="n"/>
      <c r="K28" s="142" t="n"/>
      <c r="L28" s="142" t="n"/>
      <c r="M28" s="7" t="n"/>
      <c r="N28" s="142" t="n"/>
    </row>
    <row r="29">
      <c r="A29" s="142" t="n"/>
      <c r="B29" s="7" t="n"/>
      <c r="C29" s="142" t="n"/>
      <c r="D29" s="142" t="n"/>
      <c r="E29" s="142" t="n"/>
      <c r="F29" s="142" t="n"/>
      <c r="G29" s="143" t="n"/>
      <c r="H29" s="143" t="n"/>
      <c r="I29" s="142" t="n"/>
      <c r="J29" s="142" t="n"/>
      <c r="K29" s="142" t="n"/>
      <c r="L29" s="142" t="n"/>
      <c r="M29" s="7" t="n"/>
      <c r="N29" s="142" t="n"/>
    </row>
    <row r="30">
      <c r="A30" s="142" t="n"/>
      <c r="B30" s="7" t="n"/>
      <c r="C30" s="142" t="n"/>
      <c r="D30" s="142" t="n"/>
      <c r="E30" s="142" t="n"/>
      <c r="F30" s="142" t="n"/>
      <c r="G30" s="143" t="n"/>
      <c r="H30" s="143" t="n"/>
      <c r="I30" s="142" t="n"/>
      <c r="J30" s="142" t="n"/>
      <c r="K30" s="142" t="n"/>
      <c r="L30" s="142" t="n"/>
      <c r="M30" s="7" t="n"/>
      <c r="N30" s="142" t="n"/>
    </row>
    <row r="31">
      <c r="A31" s="142" t="n"/>
      <c r="B31" s="7" t="n"/>
      <c r="C31" s="142" t="n"/>
      <c r="D31" s="142" t="n"/>
      <c r="E31" s="142" t="n"/>
      <c r="F31" s="142" t="n"/>
      <c r="G31" s="143" t="n"/>
      <c r="H31" s="143" t="n"/>
      <c r="I31" s="142" t="n"/>
      <c r="J31" s="142" t="n"/>
      <c r="K31" s="142" t="n"/>
      <c r="L31" s="142" t="n"/>
      <c r="M31" s="7" t="n"/>
      <c r="N31" s="142" t="n"/>
    </row>
    <row r="32">
      <c r="A32" s="142" t="n"/>
      <c r="B32" s="7" t="n"/>
      <c r="C32" s="142" t="n"/>
      <c r="D32" s="142" t="n"/>
      <c r="E32" s="142" t="n"/>
      <c r="F32" s="142" t="n"/>
      <c r="G32" s="143" t="n"/>
      <c r="H32" s="143" t="n"/>
      <c r="I32" s="142" t="n"/>
      <c r="J32" s="142" t="n"/>
      <c r="K32" s="142" t="n"/>
      <c r="L32" s="142" t="n"/>
      <c r="M32" s="7" t="n"/>
      <c r="N32" s="142" t="n"/>
    </row>
    <row r="33">
      <c r="A33" s="142" t="n"/>
      <c r="B33" s="7" t="n"/>
      <c r="C33" s="142" t="n"/>
      <c r="D33" s="142" t="n"/>
      <c r="E33" s="142" t="n"/>
      <c r="F33" s="142" t="n"/>
      <c r="G33" s="143" t="n"/>
      <c r="H33" s="143" t="n"/>
      <c r="I33" s="142" t="n"/>
      <c r="J33" s="142" t="n"/>
      <c r="K33" s="142" t="n"/>
      <c r="L33" s="142" t="n"/>
      <c r="M33" s="7" t="n"/>
      <c r="N33" s="142" t="n"/>
    </row>
    <row r="34">
      <c r="A34" s="142" t="n"/>
      <c r="B34" s="7" t="n"/>
      <c r="C34" s="142" t="n"/>
      <c r="D34" s="142" t="n"/>
      <c r="E34" s="142" t="n"/>
      <c r="F34" s="142" t="n"/>
      <c r="G34" s="143" t="n"/>
      <c r="H34" s="143" t="n"/>
      <c r="I34" s="142" t="n"/>
      <c r="J34" s="142" t="n"/>
      <c r="K34" s="142" t="n"/>
      <c r="L34" s="142" t="n"/>
      <c r="M34" s="7" t="n"/>
      <c r="N34" s="142" t="n"/>
    </row>
    <row r="35">
      <c r="A35" s="142" t="n"/>
      <c r="B35" s="7" t="n"/>
      <c r="C35" s="142" t="n"/>
      <c r="D35" s="142" t="n"/>
      <c r="E35" s="142" t="n"/>
      <c r="F35" s="142" t="n"/>
      <c r="G35" s="143" t="n"/>
      <c r="H35" s="143" t="n"/>
      <c r="I35" s="142" t="n"/>
      <c r="J35" s="142" t="n"/>
      <c r="K35" s="142" t="n"/>
      <c r="L35" s="142" t="n"/>
      <c r="M35" s="7" t="n"/>
      <c r="N35" s="142" t="n"/>
    </row>
    <row r="36">
      <c r="A36" s="142" t="n"/>
      <c r="B36" s="7" t="n"/>
      <c r="C36" s="142" t="n"/>
      <c r="D36" s="142" t="n"/>
      <c r="E36" s="142" t="n"/>
      <c r="F36" s="142" t="n"/>
      <c r="G36" s="143" t="n"/>
      <c r="H36" s="143" t="n"/>
      <c r="I36" s="142" t="n"/>
      <c r="J36" s="142" t="n"/>
      <c r="K36" s="142" t="n"/>
      <c r="L36" s="142" t="n"/>
      <c r="M36" s="7" t="n"/>
      <c r="N36" s="142" t="n"/>
    </row>
    <row r="37">
      <c r="A37" s="142" t="n"/>
      <c r="B37" s="7" t="n"/>
      <c r="C37" s="142" t="n"/>
      <c r="D37" s="142" t="n"/>
      <c r="E37" s="142" t="n"/>
      <c r="F37" s="142" t="n"/>
      <c r="G37" s="143" t="n"/>
      <c r="H37" s="143" t="n"/>
      <c r="I37" s="142" t="n"/>
      <c r="J37" s="142" t="n"/>
      <c r="K37" s="142" t="n"/>
      <c r="L37" s="142" t="n"/>
      <c r="M37" s="7" t="n"/>
      <c r="N37" s="142" t="n"/>
    </row>
    <row r="38">
      <c r="A38" s="142" t="n"/>
      <c r="B38" s="7" t="n"/>
      <c r="C38" s="142" t="n"/>
      <c r="D38" s="142" t="n"/>
      <c r="E38" s="142" t="n"/>
      <c r="F38" s="142" t="n"/>
      <c r="G38" s="143" t="n"/>
      <c r="H38" s="143" t="n"/>
      <c r="I38" s="142" t="n"/>
      <c r="J38" s="142" t="n"/>
      <c r="K38" s="142" t="n"/>
      <c r="L38" s="142" t="n"/>
      <c r="M38" s="7" t="n"/>
      <c r="N38" s="142" t="n"/>
    </row>
    <row r="39">
      <c r="A39" s="142" t="n"/>
      <c r="B39" s="7" t="n"/>
      <c r="C39" s="142" t="n"/>
      <c r="D39" s="142" t="n"/>
      <c r="E39" s="142" t="n"/>
      <c r="F39" s="142" t="n"/>
      <c r="G39" s="143" t="n"/>
      <c r="H39" s="143" t="n"/>
      <c r="I39" s="142" t="n"/>
      <c r="J39" s="142" t="n"/>
      <c r="K39" s="142" t="n"/>
      <c r="L39" s="142" t="n"/>
      <c r="M39" s="7" t="n"/>
      <c r="N39" s="142" t="n"/>
    </row>
    <row r="40">
      <c r="A40" s="142" t="n"/>
      <c r="B40" s="7" t="n"/>
      <c r="C40" s="142" t="n"/>
      <c r="D40" s="142" t="n"/>
      <c r="E40" s="142" t="n"/>
      <c r="F40" s="142" t="n"/>
      <c r="G40" s="143" t="n"/>
      <c r="H40" s="143" t="n"/>
      <c r="I40" s="142" t="n"/>
      <c r="J40" s="142" t="n"/>
      <c r="K40" s="142" t="n"/>
      <c r="L40" s="142" t="n"/>
      <c r="M40" s="7" t="n"/>
      <c r="N40" s="142" t="n"/>
    </row>
    <row r="41">
      <c r="A41" s="142" t="n"/>
      <c r="B41" s="7" t="n"/>
      <c r="C41" s="142" t="n"/>
      <c r="D41" s="142" t="n"/>
      <c r="E41" s="142" t="n"/>
      <c r="F41" s="142" t="n"/>
      <c r="G41" s="143" t="n"/>
      <c r="H41" s="143" t="n"/>
      <c r="I41" s="142" t="n"/>
      <c r="J41" s="142" t="n"/>
      <c r="K41" s="142" t="n"/>
      <c r="L41" s="142" t="n"/>
      <c r="M41" s="7" t="n"/>
      <c r="N41" s="142" t="n"/>
    </row>
    <row r="42">
      <c r="A42" s="142" t="n"/>
      <c r="B42" s="7" t="n"/>
      <c r="C42" s="142" t="n"/>
      <c r="D42" s="142" t="n"/>
      <c r="E42" s="142" t="n"/>
      <c r="F42" s="142" t="n"/>
      <c r="G42" s="143" t="n"/>
      <c r="H42" s="143" t="n"/>
      <c r="I42" s="142" t="n"/>
      <c r="J42" s="142" t="n"/>
      <c r="K42" s="142" t="n"/>
      <c r="L42" s="142" t="n"/>
      <c r="M42" s="7" t="n"/>
      <c r="N42" s="142" t="n"/>
    </row>
    <row r="43">
      <c r="A43" s="142" t="n"/>
      <c r="B43" s="7" t="n"/>
      <c r="C43" s="142" t="n"/>
      <c r="D43" s="142" t="n"/>
      <c r="E43" s="142" t="n"/>
      <c r="F43" s="142" t="n"/>
      <c r="G43" s="143" t="n"/>
      <c r="H43" s="143" t="n"/>
      <c r="I43" s="142" t="n"/>
      <c r="J43" s="142" t="n"/>
      <c r="K43" s="142" t="n"/>
      <c r="L43" s="142" t="n"/>
      <c r="M43" s="7" t="n"/>
      <c r="N43" s="142" t="n"/>
    </row>
    <row r="44">
      <c r="A44" s="142" t="n"/>
      <c r="B44" s="7" t="n"/>
      <c r="C44" s="142" t="n"/>
      <c r="D44" s="142" t="n"/>
      <c r="E44" s="142" t="n"/>
      <c r="F44" s="142" t="n"/>
      <c r="G44" s="143" t="n"/>
      <c r="H44" s="143" t="n"/>
      <c r="I44" s="142" t="n"/>
      <c r="J44" s="142" t="n"/>
      <c r="K44" s="142" t="n"/>
      <c r="L44" s="142" t="n"/>
      <c r="M44" s="7" t="n"/>
      <c r="N44" s="142" t="n"/>
    </row>
    <row r="45">
      <c r="A45" s="142" t="n"/>
      <c r="B45" s="7" t="n"/>
      <c r="C45" s="142" t="n"/>
      <c r="D45" s="142" t="n"/>
      <c r="E45" s="142" t="n"/>
      <c r="F45" s="142" t="n"/>
      <c r="G45" s="143" t="n"/>
      <c r="H45" s="143" t="n"/>
      <c r="I45" s="142" t="n"/>
      <c r="J45" s="142" t="n"/>
      <c r="K45" s="142" t="n"/>
      <c r="L45" s="142" t="n"/>
      <c r="M45" s="7" t="n"/>
      <c r="N45" s="142" t="n"/>
    </row>
    <row r="46">
      <c r="A46" s="142" t="n"/>
      <c r="B46" s="7" t="n"/>
      <c r="C46" s="142" t="n"/>
      <c r="D46" s="142" t="n"/>
      <c r="E46" s="142" t="n"/>
      <c r="F46" s="142" t="n"/>
      <c r="G46" s="143" t="n"/>
      <c r="H46" s="143" t="n"/>
      <c r="I46" s="142" t="n"/>
      <c r="J46" s="142" t="n"/>
      <c r="K46" s="142" t="n"/>
      <c r="L46" s="142" t="n"/>
      <c r="M46" s="7" t="n"/>
      <c r="N46" s="142" t="n"/>
    </row>
    <row r="47">
      <c r="A47" s="142" t="n"/>
      <c r="B47" s="7" t="n"/>
      <c r="C47" s="142" t="n"/>
      <c r="D47" s="142" t="n"/>
      <c r="E47" s="142" t="n"/>
      <c r="F47" s="142" t="n"/>
      <c r="G47" s="143" t="n"/>
      <c r="H47" s="143" t="n"/>
      <c r="I47" s="142" t="n"/>
      <c r="J47" s="142" t="n"/>
      <c r="K47" s="142" t="n"/>
      <c r="L47" s="142" t="n"/>
      <c r="M47" s="7" t="n"/>
      <c r="N47" s="142" t="n"/>
    </row>
    <row r="48">
      <c r="A48" s="142" t="n"/>
      <c r="B48" s="7" t="n"/>
      <c r="C48" s="142" t="n"/>
      <c r="D48" s="142" t="n"/>
      <c r="E48" s="142" t="n"/>
      <c r="F48" s="142" t="n"/>
      <c r="G48" s="143" t="n"/>
      <c r="H48" s="143" t="n"/>
      <c r="I48" s="142" t="n"/>
      <c r="J48" s="142" t="n"/>
      <c r="K48" s="142" t="n"/>
      <c r="L48" s="142" t="n"/>
      <c r="M48" s="7" t="n"/>
      <c r="N48" s="142" t="n"/>
    </row>
    <row r="49">
      <c r="A49" s="142" t="n"/>
      <c r="B49" s="7" t="n"/>
      <c r="C49" s="142" t="n"/>
      <c r="D49" s="142" t="n"/>
      <c r="E49" s="142" t="n"/>
      <c r="F49" s="142" t="n"/>
      <c r="G49" s="143" t="n"/>
      <c r="H49" s="143" t="n"/>
      <c r="I49" s="142" t="n"/>
      <c r="J49" s="142" t="n"/>
      <c r="K49" s="142" t="n"/>
      <c r="L49" s="142" t="n"/>
      <c r="M49" s="7" t="n"/>
      <c r="N49" s="142" t="n"/>
    </row>
    <row r="50">
      <c r="A50" s="142" t="n"/>
      <c r="B50" s="7" t="n"/>
      <c r="C50" s="142" t="n"/>
      <c r="D50" s="142" t="n"/>
      <c r="E50" s="142" t="n"/>
      <c r="F50" s="142" t="n"/>
      <c r="G50" s="143" t="n"/>
      <c r="H50" s="143" t="n"/>
      <c r="I50" s="142" t="n"/>
      <c r="J50" s="142" t="n"/>
      <c r="K50" s="142" t="n"/>
      <c r="L50" s="142" t="n"/>
      <c r="M50" s="7" t="n"/>
      <c r="N50" s="142" t="n"/>
    </row>
    <row r="51">
      <c r="A51" s="142" t="n"/>
      <c r="B51" s="7" t="n"/>
      <c r="C51" s="142" t="n"/>
      <c r="D51" s="142" t="n"/>
      <c r="E51" s="142" t="n"/>
      <c r="F51" s="142" t="n"/>
      <c r="G51" s="143" t="n"/>
      <c r="H51" s="143" t="n"/>
      <c r="I51" s="142" t="n"/>
      <c r="J51" s="142" t="n"/>
      <c r="K51" s="142" t="n"/>
      <c r="L51" s="142" t="n"/>
      <c r="M51" s="7" t="n"/>
      <c r="N51" s="142" t="n"/>
    </row>
    <row r="52">
      <c r="A52" s="142" t="n"/>
      <c r="B52" s="7" t="n"/>
      <c r="C52" s="142" t="n"/>
      <c r="D52" s="142" t="n"/>
      <c r="E52" s="142" t="n"/>
      <c r="F52" s="142" t="n"/>
      <c r="G52" s="143" t="n"/>
      <c r="H52" s="143" t="n"/>
      <c r="I52" s="142" t="n"/>
      <c r="J52" s="142" t="n"/>
      <c r="K52" s="142" t="n"/>
      <c r="L52" s="142" t="n"/>
      <c r="M52" s="7" t="n"/>
      <c r="N52" s="142" t="n"/>
    </row>
    <row r="53">
      <c r="A53" s="142" t="n"/>
      <c r="B53" s="7" t="n"/>
      <c r="C53" s="142" t="n"/>
      <c r="D53" s="142" t="n"/>
      <c r="E53" s="142" t="n"/>
      <c r="F53" s="142" t="n"/>
      <c r="G53" s="143" t="n"/>
      <c r="H53" s="143" t="n"/>
      <c r="I53" s="142" t="n"/>
      <c r="J53" s="142" t="n"/>
      <c r="K53" s="142" t="n"/>
      <c r="L53" s="142" t="n"/>
      <c r="M53" s="7" t="n"/>
      <c r="N53" s="142" t="n"/>
    </row>
    <row r="54">
      <c r="A54" s="142" t="n"/>
      <c r="B54" s="7" t="n"/>
      <c r="C54" s="142" t="n"/>
      <c r="D54" s="142" t="n"/>
      <c r="E54" s="142" t="n"/>
      <c r="F54" s="142" t="n"/>
      <c r="G54" s="143" t="n"/>
      <c r="H54" s="143" t="n"/>
      <c r="I54" s="142" t="n"/>
      <c r="J54" s="142" t="n"/>
      <c r="K54" s="142" t="n"/>
      <c r="L54" s="142" t="n"/>
      <c r="M54" s="7" t="n"/>
      <c r="N54" s="142" t="n"/>
    </row>
    <row r="55">
      <c r="A55" s="142" t="n"/>
      <c r="B55" s="7" t="n"/>
      <c r="C55" s="142" t="n"/>
      <c r="D55" s="142" t="n"/>
      <c r="E55" s="142" t="n"/>
      <c r="F55" s="142" t="n"/>
      <c r="G55" s="143" t="n"/>
      <c r="H55" s="143" t="n"/>
      <c r="I55" s="142" t="n"/>
      <c r="J55" s="142" t="n"/>
      <c r="K55" s="142" t="n"/>
      <c r="L55" s="142" t="n"/>
      <c r="M55" s="7" t="n"/>
      <c r="N55" s="142" t="n"/>
    </row>
    <row r="56">
      <c r="A56" s="142" t="n"/>
      <c r="B56" s="7" t="n"/>
      <c r="C56" s="142" t="n"/>
      <c r="D56" s="142" t="n"/>
      <c r="E56" s="142" t="n"/>
      <c r="F56" s="142" t="n"/>
      <c r="G56" s="143" t="n"/>
      <c r="H56" s="143" t="n"/>
      <c r="I56" s="142" t="n"/>
      <c r="J56" s="142" t="n"/>
      <c r="K56" s="142" t="n"/>
      <c r="L56" s="142" t="n"/>
      <c r="M56" s="7" t="n"/>
      <c r="N56" s="142" t="n"/>
    </row>
    <row r="57">
      <c r="A57" s="142" t="n"/>
      <c r="B57" s="7" t="n"/>
      <c r="C57" s="142" t="n"/>
      <c r="D57" s="142" t="n"/>
      <c r="E57" s="142" t="n"/>
      <c r="F57" s="142" t="n"/>
      <c r="G57" s="143" t="n"/>
      <c r="H57" s="143" t="n"/>
      <c r="I57" s="142" t="n"/>
      <c r="J57" s="142" t="n"/>
      <c r="K57" s="142" t="n"/>
      <c r="L57" s="142" t="n"/>
      <c r="M57" s="7" t="n"/>
      <c r="N57" s="142" t="n"/>
    </row>
    <row r="58">
      <c r="A58" s="142" t="n"/>
      <c r="B58" s="7" t="n"/>
      <c r="C58" s="142" t="n"/>
      <c r="D58" s="142" t="n"/>
      <c r="E58" s="142" t="n"/>
      <c r="F58" s="142" t="n"/>
      <c r="G58" s="143" t="n"/>
      <c r="H58" s="143" t="n"/>
      <c r="I58" s="142" t="n"/>
      <c r="J58" s="142" t="n"/>
      <c r="K58" s="142" t="n"/>
      <c r="L58" s="142" t="n"/>
      <c r="M58" s="7" t="n"/>
      <c r="N58" s="142" t="n"/>
    </row>
    <row r="59">
      <c r="A59" s="142" t="n"/>
      <c r="B59" s="7" t="n"/>
      <c r="C59" s="142" t="n"/>
      <c r="D59" s="142" t="n"/>
      <c r="E59" s="142" t="n"/>
      <c r="F59" s="142" t="n"/>
      <c r="G59" s="143" t="n"/>
      <c r="H59" s="143" t="n"/>
      <c r="I59" s="142" t="n"/>
      <c r="J59" s="142" t="n"/>
      <c r="K59" s="142" t="n"/>
      <c r="L59" s="142" t="n"/>
      <c r="M59" s="7" t="n"/>
      <c r="N59" s="142" t="n"/>
    </row>
    <row r="60">
      <c r="A60" s="142" t="n"/>
      <c r="B60" s="7" t="n"/>
      <c r="C60" s="142" t="n"/>
      <c r="D60" s="142" t="n"/>
      <c r="E60" s="142" t="n"/>
      <c r="F60" s="142" t="n"/>
      <c r="G60" s="143" t="n"/>
      <c r="H60" s="143" t="n"/>
      <c r="I60" s="142" t="n"/>
      <c r="J60" s="142" t="n"/>
      <c r="K60" s="142" t="n"/>
      <c r="L60" s="142" t="n"/>
      <c r="M60" s="7" t="n"/>
      <c r="N60" s="142" t="n"/>
    </row>
    <row r="61">
      <c r="A61" s="142" t="n"/>
      <c r="B61" s="7" t="n"/>
      <c r="C61" s="142" t="n"/>
      <c r="D61" s="142" t="n"/>
      <c r="E61" s="142" t="n"/>
      <c r="F61" s="142" t="n"/>
      <c r="G61" s="143" t="n"/>
      <c r="H61" s="143" t="n"/>
      <c r="I61" s="142" t="n"/>
      <c r="J61" s="142" t="n"/>
      <c r="K61" s="142" t="n"/>
      <c r="L61" s="142" t="n"/>
      <c r="M61" s="7" t="n"/>
      <c r="N61" s="142" t="n"/>
    </row>
    <row r="62">
      <c r="A62" s="142" t="n"/>
      <c r="B62" s="7" t="n"/>
      <c r="C62" s="142" t="n"/>
      <c r="D62" s="142" t="n"/>
      <c r="E62" s="142" t="n"/>
      <c r="F62" s="142" t="n"/>
      <c r="G62" s="143" t="n"/>
      <c r="H62" s="143" t="n"/>
      <c r="I62" s="142" t="n"/>
      <c r="J62" s="142" t="n"/>
      <c r="K62" s="142" t="n"/>
      <c r="L62" s="142" t="n"/>
      <c r="M62" s="7" t="n"/>
      <c r="N62" s="142" t="n"/>
    </row>
    <row r="63">
      <c r="A63" s="142" t="n"/>
      <c r="B63" s="7" t="n"/>
      <c r="C63" s="142" t="n"/>
      <c r="D63" s="142" t="n"/>
      <c r="E63" s="142" t="n"/>
      <c r="F63" s="142" t="n"/>
      <c r="G63" s="143" t="n"/>
      <c r="H63" s="143" t="n"/>
      <c r="I63" s="142" t="n"/>
      <c r="J63" s="142" t="n"/>
      <c r="K63" s="142" t="n"/>
      <c r="L63" s="142" t="n"/>
      <c r="M63" s="7" t="n"/>
      <c r="N63" s="142" t="n"/>
    </row>
    <row r="64">
      <c r="A64" s="142" t="n"/>
      <c r="B64" s="7" t="n"/>
      <c r="C64" s="142" t="n"/>
      <c r="D64" s="142" t="n"/>
      <c r="E64" s="142" t="n"/>
      <c r="F64" s="142" t="n"/>
      <c r="G64" s="143" t="n"/>
      <c r="H64" s="143" t="n"/>
      <c r="I64" s="142" t="n"/>
      <c r="J64" s="142" t="n"/>
      <c r="K64" s="142" t="n"/>
      <c r="L64" s="142" t="n"/>
      <c r="M64" s="7" t="n"/>
      <c r="N64" s="142" t="n"/>
    </row>
    <row r="65">
      <c r="A65" s="142" t="n"/>
      <c r="B65" s="7" t="n"/>
      <c r="C65" s="142" t="n"/>
      <c r="D65" s="142" t="n"/>
      <c r="E65" s="142" t="n"/>
      <c r="F65" s="142" t="n"/>
      <c r="G65" s="143" t="n"/>
      <c r="H65" s="143" t="n"/>
      <c r="I65" s="142" t="n"/>
      <c r="J65" s="142" t="n"/>
      <c r="K65" s="142" t="n"/>
      <c r="L65" s="142" t="n"/>
      <c r="M65" s="7" t="n"/>
      <c r="N65" s="14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G11" sqref="G11"/>
    </sheetView>
  </sheetViews>
  <sheetFormatPr baseColWidth="8" defaultRowHeight="15"/>
  <cols>
    <col width="23" customWidth="1" min="2" max="2"/>
    <col width="24.7109375" customWidth="1" min="3" max="3"/>
  </cols>
  <sheetData>
    <row r="1">
      <c r="A1" s="154" t="inlineStr">
        <is>
          <t>Automatizada</t>
        </is>
      </c>
    </row>
    <row r="2" ht="25.5" customHeight="1">
      <c r="A2" s="85" t="inlineStr">
        <is>
          <t>NO</t>
        </is>
      </c>
      <c r="B2" s="86" t="inlineStr">
        <is>
          <t>ARCHIVO DE GESTIÓN</t>
        </is>
      </c>
      <c r="C2" s="87" t="inlineStr">
        <is>
          <t>DIGITALIZACIÓN DE DOCUMENTOS</t>
        </is>
      </c>
    </row>
    <row r="3">
      <c r="A3" s="78" t="n"/>
      <c r="B3" s="79" t="n"/>
      <c r="C3" s="80" t="n"/>
    </row>
    <row r="4">
      <c r="A4" s="78" t="n"/>
      <c r="B4" s="79" t="n"/>
      <c r="C4" s="80" t="n"/>
    </row>
    <row r="5">
      <c r="A5" s="78" t="n"/>
      <c r="B5" s="79" t="n"/>
      <c r="C5" s="80" t="n"/>
    </row>
    <row r="6">
      <c r="A6" s="78" t="n"/>
      <c r="B6" s="79" t="n"/>
      <c r="C6" s="80" t="n"/>
    </row>
    <row r="7">
      <c r="A7" s="78" t="n"/>
      <c r="B7" s="79" t="n"/>
      <c r="C7" s="80" t="n"/>
    </row>
    <row r="8">
      <c r="A8" s="78" t="n"/>
      <c r="B8" s="79" t="n"/>
      <c r="C8" s="80" t="n"/>
    </row>
    <row r="9">
      <c r="A9" s="78" t="n"/>
      <c r="B9" s="79" t="n"/>
      <c r="C9" s="81" t="n"/>
    </row>
    <row r="10">
      <c r="A10" s="78" t="n"/>
      <c r="B10" s="79" t="n"/>
      <c r="C10" s="80" t="n"/>
    </row>
    <row r="11">
      <c r="A11" s="78" t="n"/>
      <c r="B11" s="79" t="n"/>
      <c r="C11" s="80" t="n"/>
    </row>
    <row r="12">
      <c r="A12" s="78" t="n"/>
      <c r="B12" s="79" t="n"/>
      <c r="C12" s="80" t="n"/>
    </row>
    <row r="13">
      <c r="A13" s="82" t="n"/>
      <c r="B13" s="83" t="n"/>
      <c r="C13" s="84" t="n"/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C1:M153"/>
  <sheetViews>
    <sheetView workbookViewId="0">
      <selection activeCell="E3" sqref="E3"/>
    </sheetView>
  </sheetViews>
  <sheetFormatPr baseColWidth="8" defaultRowHeight="15"/>
  <cols>
    <col width="8.7109375" customWidth="1" min="2" max="2"/>
    <col width="18.85546875" customWidth="1" min="3" max="3"/>
    <col width="23.7109375" bestFit="1" customWidth="1" min="4" max="4"/>
    <col width="15.7109375" customWidth="1" min="5" max="5"/>
    <col width="12.5703125" customWidth="1" min="6" max="6"/>
    <col width="22.42578125" customWidth="1" min="7" max="7"/>
    <col width="26" bestFit="1" customWidth="1" min="8" max="9"/>
    <col width="11.28515625" bestFit="1" customWidth="1" min="10" max="10"/>
    <col width="17.85546875" bestFit="1" customWidth="1" min="11" max="12"/>
    <col width="13.28515625" customWidth="1" min="13" max="13"/>
  </cols>
  <sheetData>
    <row r="1">
      <c r="C1" s="156" t="inlineStr">
        <is>
          <t>Metas del  tiempo</t>
        </is>
      </c>
      <c r="D1" s="157" t="n"/>
      <c r="E1" s="158" t="n"/>
      <c r="F1" s="150" t="inlineStr">
        <is>
          <t>PRUDENCIA</t>
        </is>
      </c>
      <c r="G1" s="158" t="n"/>
      <c r="H1" s="6" t="n"/>
    </row>
    <row r="2">
      <c r="C2" s="22" t="inlineStr">
        <is>
          <t>A tiempo</t>
        </is>
      </c>
      <c r="D2" t="inlineStr">
        <is>
          <t>Fuera de tiempo</t>
        </is>
      </c>
      <c r="E2" s="23" t="inlineStr">
        <is>
          <t>Promedio Tiempo de respuesta</t>
        </is>
      </c>
      <c r="F2" s="26" t="inlineStr">
        <is>
          <t>Dentro del horario</t>
        </is>
      </c>
      <c r="G2" s="19" t="inlineStr">
        <is>
          <t>Fuera de horario</t>
        </is>
      </c>
    </row>
    <row r="3">
      <c r="C3" s="20">
        <f>COUNTIF('RequestStats'!H:H, "&lt;00:59:59")</f>
        <v/>
      </c>
      <c r="D3" s="24">
        <f>COUNTIF('RequestStats'!H:H, "&gt;00:59:59")</f>
        <v/>
      </c>
      <c r="E3" s="25">
        <f>AVERAGE('RequestStats 2025'!H:H)</f>
        <v/>
      </c>
      <c r="F3" s="24">
        <f>COUNTIF('RequestStats'!F:F, "Dentro del horario")</f>
        <v/>
      </c>
      <c r="G3" s="21">
        <f>COUNTIF('RequestStats'!F:F, "Fuera de horario")</f>
        <v/>
      </c>
    </row>
    <row r="5">
      <c r="H5" t="inlineStr">
        <is>
          <t>Gestores</t>
        </is>
      </c>
      <c r="I5" t="inlineStr">
        <is>
          <t>Total</t>
        </is>
      </c>
      <c r="J5" t="inlineStr">
        <is>
          <t>A tiempo</t>
        </is>
      </c>
      <c r="K5" t="inlineStr">
        <is>
          <t>Fuera de tiempo</t>
        </is>
      </c>
      <c r="L5" t="inlineStr">
        <is>
          <t>Promedio</t>
        </is>
      </c>
    </row>
    <row r="6">
      <c r="H6" t="inlineStr">
        <is>
          <t>Kevin F Fernandez U</t>
        </is>
      </c>
      <c r="I6">
        <f>COUNTIF('RequestStats'!D:D,'Metricas 2025'!H6)</f>
        <v/>
      </c>
      <c r="J6">
        <f>COUNTIFS('RequestStats'!H:H, "A tiempo", 'RequestStats'!D:D,'Metricas 2025'!H6)</f>
        <v/>
      </c>
      <c r="K6">
        <f>COUNTIFS('RequestStats'!H:H, "Fuera de tiempo", 'RequestStats'!D:D,'Metricas 2025'!H6)</f>
        <v/>
      </c>
      <c r="L6" s="12">
        <f>AVERAGEIFS('RequestStats'!G:G, 'RequestStats'!B:B, "&gt;=" &amp; DATE(2025,1,1), 'RequestStats'!B:B, "&lt;=" &amp; DATE(2025,12,31), 'RequestStats'!D:D, Tabla7151625[[#This Row],[Gestores]])</f>
        <v/>
      </c>
    </row>
    <row r="7">
      <c r="H7" t="inlineStr">
        <is>
          <t>Moises A Laureano M</t>
        </is>
      </c>
      <c r="I7">
        <f>COUNTIF('RequestStats'!D:D,'Metricas 2025'!H7)</f>
        <v/>
      </c>
      <c r="J7">
        <f>COUNTIFS('RequestStats'!H:H, "A tiempo", 'RequestStats'!D:D,'Metricas 2025'!H7)</f>
        <v/>
      </c>
      <c r="K7">
        <f>COUNTIFS('RequestStats'!H:H, "Fuera de tiempo", 'RequestStats'!D:D,'Metricas 2025'!H7)</f>
        <v/>
      </c>
      <c r="L7" s="12">
        <f>AVERAGEIFS('RequestStats'!G:G, 'RequestStats'!B:B, "&gt;=" &amp; DATE(2025,1,1), 'RequestStats'!B:B, "&lt;=" &amp; DATE(2025,12,31), 'RequestStats'!D:D, Tabla7151625[[#This Row],[Gestores]])</f>
        <v/>
      </c>
      <c r="M7" s="12" t="n"/>
    </row>
    <row r="8">
      <c r="H8" t="inlineStr">
        <is>
          <t>Andersson Beltre</t>
        </is>
      </c>
      <c r="I8">
        <f>COUNTIF('RequestStats'!D:D,'Metricas 2025'!H8)</f>
        <v/>
      </c>
      <c r="J8">
        <f>COUNTIFS('RequestStats'!H:H, "A tiempo", 'RequestStats'!D:D,'Metricas 2025'!H8)</f>
        <v/>
      </c>
      <c r="K8">
        <f>COUNTIFS('RequestStats'!H:H, "Fuera de tiempo", 'RequestStats'!D:D,'Metricas 2025'!H8)</f>
        <v/>
      </c>
      <c r="L8" s="12">
        <f>AVERAGEIFS('RequestStats'!G:G, 'RequestStats'!B:B, "&gt;=" &amp; DATE(2025,1,1), 'RequestStats'!B:B, "&lt;=" &amp; DATE(2025,12,31), 'RequestStats'!D:D, Tabla7151625[[#This Row],[Gestores]])</f>
        <v/>
      </c>
      <c r="M8" s="12" t="n"/>
    </row>
    <row r="9">
      <c r="H9" t="inlineStr">
        <is>
          <t>Julio A Thomas G</t>
        </is>
      </c>
      <c r="I9">
        <f>COUNTIF('RequestStats'!D:D,'Metricas 2025'!H9)</f>
        <v/>
      </c>
      <c r="J9">
        <f>COUNTIFS('RequestStats'!H:H, "A tiempo", 'RequestStats'!D:D,'Metricas 2025'!H9)</f>
        <v/>
      </c>
      <c r="K9">
        <f>COUNTIFS('RequestStats'!H:H, "Fuera de tiempo", 'RequestStats'!D:D,'Metricas 2025'!H9)</f>
        <v/>
      </c>
      <c r="L9" s="12">
        <f>AVERAGEIFS('RequestStats'!G:G, 'RequestStats'!B:B, "&gt;=" &amp; DATE(2025,1,1), 'RequestStats'!B:B, "&lt;=" &amp; DATE(2025,12,31), 'RequestStats'!D:D, Tabla7151625[[#This Row],[Gestores]])</f>
        <v/>
      </c>
      <c r="M9" s="12" t="n"/>
    </row>
    <row r="10">
      <c r="H10" t="inlineStr">
        <is>
          <t>Elvis G Valdez M</t>
        </is>
      </c>
      <c r="I10">
        <f>COUNTIF('RequestStats'!D:D,'Metricas 2025'!H10)</f>
        <v/>
      </c>
      <c r="J10">
        <f>COUNTIFS('RequestStats'!H:H, "A tiempo", 'RequestStats'!D:D,'Metricas 2025'!H10)</f>
        <v/>
      </c>
      <c r="K10">
        <f>COUNTIFS('RequestStats'!H:H, "Fuera de tiempo", 'RequestStats'!D:D,'Metricas 2025'!H10)</f>
        <v/>
      </c>
      <c r="L10" s="12">
        <f>AVERAGEIFS('RequestStats'!G:G, 'RequestStats'!B:B, "&gt;=" &amp; DATE(2025,1,1), 'RequestStats'!B:B, "&lt;=" &amp; DATE(2025,12,31), 'RequestStats'!D:D, Tabla7151625[[#This Row],[Gestores]])</f>
        <v/>
      </c>
      <c r="M10" s="12" t="n"/>
    </row>
    <row r="11">
      <c r="H11" t="inlineStr">
        <is>
          <t>Julio Adolfo Merino Feliciano</t>
        </is>
      </c>
      <c r="I11">
        <f>COUNTIF('RequestStats'!D:D,'Metricas 2025'!H11)</f>
        <v/>
      </c>
      <c r="J11">
        <f>COUNTIFS('RequestStats'!H:H, "A tiempo", 'RequestStats'!D:D,'Metricas 2025'!H11)</f>
        <v/>
      </c>
      <c r="K11">
        <f>COUNTIFS('RequestStats'!H:H, "Fuera de tiempo", 'RequestStats'!D:D,'Metricas 2025'!H11)</f>
        <v/>
      </c>
      <c r="L11" s="12">
        <f>AVERAGEIFS('RequestStats'!G:G, 'RequestStats'!B:B, "&gt;=" &amp; DATE(2025,1,1), 'RequestStats'!B:B, "&lt;=" &amp; DATE(2025,12,31), 'RequestStats'!D:D, Tabla7151625[[#This Row],[Gestores]])</f>
        <v/>
      </c>
      <c r="M11" s="12" t="n"/>
    </row>
    <row r="12">
      <c r="H12" t="inlineStr">
        <is>
          <t>Genaro Corporan B</t>
        </is>
      </c>
      <c r="I12">
        <f>COUNTIF('RequestStats'!D:D,'Metricas 2025'!H12)</f>
        <v/>
      </c>
      <c r="J12">
        <f>COUNTIFS('RequestStats'!H:H, "A tiempo", 'RequestStats'!D:D,'Metricas 2025'!H12)</f>
        <v/>
      </c>
      <c r="K12">
        <f>COUNTIFS('RequestStats'!H:H, "Fuera de tiempo", 'RequestStats'!D:D,'Metricas 2025'!H12)</f>
        <v/>
      </c>
      <c r="L12" s="12">
        <f>AVERAGEIFS('RequestStats'!G:G, 'RequestStats'!B:B, "&gt;=" &amp; DATE(2025,1,1), 'RequestStats'!B:B, "&lt;=" &amp; DATE(2025,12,31), 'RequestStats'!D:D, Tabla7151625[[#This Row],[Gestores]])</f>
        <v/>
      </c>
      <c r="M12" s="12" t="n"/>
    </row>
    <row r="13">
      <c r="H13" t="inlineStr">
        <is>
          <t>Francisco Sanchez V</t>
        </is>
      </c>
      <c r="I13">
        <f>COUNTIF('RequestStats'!D:D,'Metricas 2025'!H13)</f>
        <v/>
      </c>
      <c r="J13">
        <f>COUNTIFS('RequestStats'!H:H, "A tiempo", 'RequestStats'!D:D,'Metricas 2025'!H13)</f>
        <v/>
      </c>
      <c r="K13">
        <f>COUNTIFS('RequestStats'!H:H, "Fuera de tiempo", 'RequestStats'!D:D,'Metricas 2025'!H13)</f>
        <v/>
      </c>
      <c r="L13" s="12">
        <f>AVERAGEIFS('RequestStats'!G:G, 'RequestStats'!B:B, "&gt;=" &amp; DATE(2025,1,1), 'RequestStats'!B:B, "&lt;=" &amp; DATE(2025,12,31), 'RequestStats'!D:D, Tabla7151625[[#This Row],[Gestores]])</f>
        <v/>
      </c>
      <c r="M13" s="12" t="n"/>
    </row>
    <row r="37">
      <c r="C37" s="4" t="inlineStr">
        <is>
          <t>Cuenta de Solicitud</t>
        </is>
      </c>
      <c r="D37" s="4" t="inlineStr">
        <is>
          <t>Etiquetas de columna</t>
        </is>
      </c>
    </row>
    <row r="38">
      <c r="C38" s="4" t="inlineStr">
        <is>
          <t>Etiquetas de fila</t>
        </is>
      </c>
      <c r="D38" t="inlineStr">
        <is>
          <t>Dentro del horario</t>
        </is>
      </c>
      <c r="E38" t="inlineStr">
        <is>
          <t>Fuera de horario</t>
        </is>
      </c>
      <c r="F38" t="inlineStr">
        <is>
          <t>Total general</t>
        </is>
      </c>
    </row>
    <row r="39">
      <c r="C39" s="5" t="inlineStr">
        <is>
          <t>Copia Digital</t>
        </is>
      </c>
      <c r="D39" t="n">
        <v>54</v>
      </c>
      <c r="E39" t="n">
        <v>10</v>
      </c>
      <c r="F39" t="n">
        <v>64</v>
      </c>
    </row>
    <row r="40">
      <c r="C40" s="5" t="inlineStr">
        <is>
          <t>Prestamo</t>
        </is>
      </c>
      <c r="D40" t="n">
        <v>5</v>
      </c>
      <c r="E40" t="n">
        <v>3</v>
      </c>
      <c r="F40" t="n">
        <v>8</v>
      </c>
    </row>
    <row r="41">
      <c r="C41" s="5" t="inlineStr">
        <is>
          <t>Total general</t>
        </is>
      </c>
      <c r="D41" t="n">
        <v>59</v>
      </c>
      <c r="E41" t="n">
        <v>13</v>
      </c>
      <c r="F41" t="n">
        <v>72</v>
      </c>
    </row>
    <row r="61">
      <c r="C61" s="155" t="inlineStr">
        <is>
          <t>Trimestre 1 - Stats</t>
        </is>
      </c>
      <c r="H61" s="155" t="inlineStr">
        <is>
          <t>Trimestre 1 - Stats</t>
        </is>
      </c>
    </row>
    <row r="62">
      <c r="C62" s="152" t="n"/>
      <c r="D62" s="152" t="n"/>
      <c r="E62" s="152" t="n"/>
      <c r="F62" s="152" t="n"/>
    </row>
    <row r="63">
      <c r="C63" s="156" t="inlineStr">
        <is>
          <t>Metas del  tiempo</t>
        </is>
      </c>
      <c r="D63" s="157" t="n"/>
      <c r="E63" s="158" t="n"/>
      <c r="F63" s="150" t="inlineStr">
        <is>
          <t>PRUDENCIA</t>
        </is>
      </c>
      <c r="G63" s="158" t="n"/>
    </row>
    <row r="64">
      <c r="C64" s="22" t="inlineStr">
        <is>
          <t>A tiempo</t>
        </is>
      </c>
      <c r="D64" t="inlineStr">
        <is>
          <t>Fuera de tiempo</t>
        </is>
      </c>
      <c r="E64" s="23" t="inlineStr">
        <is>
          <t>Promedio Tiempo de respuesta</t>
        </is>
      </c>
      <c r="F64" s="26" t="inlineStr">
        <is>
          <t>Dentro del horario</t>
        </is>
      </c>
      <c r="G64" s="19" t="inlineStr">
        <is>
          <t>Fuera de horario</t>
        </is>
      </c>
    </row>
    <row r="65">
      <c r="C65" s="20">
        <f>COUNTIFS('RequestStats'!H:H, "&lt;=00:59:59", 'RequestStats'!C:C, "&gt;=" &amp; DATE(2025,1,1), 'RequestStats'!C:C, "&lt;=" &amp; DATE(2025,3,31))</f>
        <v/>
      </c>
      <c r="D65" s="24">
        <f>COUNTIFS('RequestStats'!H:H, "&gt;00:60:00", 'RequestStats'!C:C, "&gt;=" &amp; DATE(2025,1,1), 'RequestStats'!C:C, "&lt;=" &amp; DATE(2025,3,31))</f>
        <v/>
      </c>
      <c r="E65" s="25">
        <f>AVERAGEIFS('RequestStats'!H:H,'RequestStats'!C:C, "&lt;=" &amp; DATE(2025,3,31), 'RequestStats'!C:C, "&gt;=" &amp; DATE(2025,1,1))</f>
        <v/>
      </c>
      <c r="F65" s="24">
        <f>COUNTIFS('RequestStats'!C:C, "&gt;=" &amp; DATE(2025,1,1), 'RequestStats'!C:C, "&lt;=" &amp; DATE(2025,3,31), 'RequestStats'!F:F, "Dentro del Horario")</f>
        <v/>
      </c>
      <c r="G65" s="21">
        <f>COUNTIFS('RequestStats'!C:C, "&gt;=" &amp; DATE(2025,1,1), 'RequestStats'!C:C, "&lt;=" &amp; DATE(2025,3,31), 'RequestStats'!F:F, "Fuera de Horario")</f>
        <v/>
      </c>
    </row>
    <row r="66">
      <c r="C66" s="152" t="n"/>
      <c r="D66" s="152" t="n"/>
      <c r="E66" s="152" t="n"/>
      <c r="F66" s="152" t="n"/>
    </row>
    <row r="67">
      <c r="C67" s="36" t="inlineStr">
        <is>
          <t>Trimestre 1 - Stats</t>
        </is>
      </c>
      <c r="D67" s="36" t="n"/>
      <c r="E67" s="36" t="n"/>
      <c r="F67" s="36" t="n"/>
      <c r="H67" t="inlineStr">
        <is>
          <t>Gestores</t>
        </is>
      </c>
      <c r="I67" t="inlineStr">
        <is>
          <t>Total</t>
        </is>
      </c>
      <c r="J67" t="inlineStr">
        <is>
          <t>A tiempo</t>
        </is>
      </c>
      <c r="K67" t="inlineStr">
        <is>
          <t>Fuera de tiempo</t>
        </is>
      </c>
      <c r="L67" t="inlineStr">
        <is>
          <t>Promedio</t>
        </is>
      </c>
    </row>
    <row r="68">
      <c r="C68" s="36" t="inlineStr">
        <is>
          <t>Cuenta de Solicitud</t>
        </is>
      </c>
      <c r="D68" s="36" t="inlineStr">
        <is>
          <t>Etiquetas de columna</t>
        </is>
      </c>
      <c r="E68" s="36" t="n"/>
      <c r="F68" s="36" t="n"/>
      <c r="H68" t="inlineStr">
        <is>
          <t>Kevin F Fernandez U</t>
        </is>
      </c>
      <c r="I68">
        <f>COUNTIFS('RequestStats'!E:E,Tabla7920[[#This Row],[Gestores]], 'RequestStats'!C:C, "&gt;=" &amp; DATE(2025,1,1), 'RequestStats'!C:C, "&lt;=" &amp; DATE(2025,3,31))</f>
        <v/>
      </c>
      <c r="J68">
        <f>COUNTIFS('RequestStats'!I:I, "A tiempo", 'RequestStats'!E:E,'Metricas 2025'!H68, RequestStats!C:C, "&gt;=" &amp; DATE(2025,1,1), RequestStats!C:C, "&lt;=" &amp; DATE(2025,3,31))</f>
        <v/>
      </c>
      <c r="K68">
        <f>COUNTIFS('RequestStats'!I:I, "Fuera de tiempo", 'RequestStats'!E:E,'Metricas 2025'!H68, RequestStats!C:C, "&gt;=" &amp; DATE(2025,1,1), RequestStats!C:C, "&lt;=" &amp; DATE(2025,3,31))</f>
        <v/>
      </c>
      <c r="L68" s="12">
        <f>AVERAGEIFS('RequestStats'!H:H, 'RequestStats'!C:C, "&gt;=" &amp; DATE(2025,1,1), 'RequestStats'!C:C, "&lt;=" &amp; DATE(2025,3,31), 'RequestStats'!E:E, Tabla7920[[#This Row],[Gestores]])</f>
        <v/>
      </c>
    </row>
    <row r="69">
      <c r="C69" s="36" t="inlineStr">
        <is>
          <t>Etiquetas de fila</t>
        </is>
      </c>
      <c r="D69" s="36" t="inlineStr">
        <is>
          <t>Dentro del horario</t>
        </is>
      </c>
      <c r="E69" s="36" t="inlineStr">
        <is>
          <t>Fuera de horario</t>
        </is>
      </c>
      <c r="F69" s="36" t="inlineStr">
        <is>
          <t>Total general</t>
        </is>
      </c>
      <c r="H69" t="inlineStr">
        <is>
          <t>Moises A Laureano M</t>
        </is>
      </c>
      <c r="I69">
        <f>COUNTIFS('RequestStats'!E:E,Tabla7920[[#This Row],[Gestores]], 'RequestStats'!C:C, "&gt;=" &amp; DATE(2025,1,1), 'RequestStats'!C:C, "&lt;=" &amp; DATE(2025,3,31))</f>
        <v/>
      </c>
      <c r="J69">
        <f>COUNTIFS('RequestStats'!I:I, "A tiempo", 'RequestStats'!E:E,'Metricas 2025'!H69, RequestStats!C:C, "&gt;=" &amp; DATE(2025,1,1), RequestStats!C:C, "&lt;=" &amp; DATE(2025,3,31))</f>
        <v/>
      </c>
      <c r="K69">
        <f>COUNTIFS('RequestStats'!I:I, "Fuera de tiempo", 'RequestStats'!E:E,'Metricas 2025'!H69, RequestStats!C:C, "&gt;=" &amp; DATE(2025,1,1), RequestStats!C:C, "&lt;=" &amp; DATE(2025,3,31))</f>
        <v/>
      </c>
      <c r="L69" s="12">
        <f>AVERAGEIFS('RequestStats'!H:H, 'RequestStats'!C:C, "&gt;=" &amp; DATE(2025,1,1), 'RequestStats'!C:C, "&lt;=" &amp; DATE(2025,3,31), 'RequestStats'!E:E, Tabla7920[[#This Row],[Gestores]])</f>
        <v/>
      </c>
    </row>
    <row r="70">
      <c r="C70" s="38" t="inlineStr">
        <is>
          <t>Copia Digital</t>
        </is>
      </c>
      <c r="D70" s="39">
        <f>COUNTIFS('RequestStats'!C:C, "&gt;=" &amp; DATE(2025,1,1), 'RequestStats'!C:C, "&lt;=" &amp; DATE(2025,3,31), 'RequestStats'!F:F, "Dentro del Horario", 'RequestStats'!B:B, "Copia Digital" )</f>
        <v/>
      </c>
      <c r="E70" s="39">
        <f>COUNTIFS('RequestStats'!C:C, "&gt;=" &amp; DATE(2025,1,1), 'RequestStats'!C:C, "&lt;=" &amp; DATE(2025,3,31), 'RequestStats'!F:F, "Fuera de Horario", 'RequestStats'!B:B, "Copia Digital" )</f>
        <v/>
      </c>
      <c r="F70" s="38">
        <f>SUM(D70:E70)</f>
        <v/>
      </c>
      <c r="H70" t="inlineStr">
        <is>
          <t>Andersson Beltre</t>
        </is>
      </c>
      <c r="I70">
        <f>COUNTIFS('RequestStats'!E:E,Tabla7920[[#This Row],[Gestores]], 'RequestStats'!C:C, "&gt;=" &amp; DATE(2025,1,1), 'RequestStats'!C:C, "&lt;=" &amp; DATE(2025,3,31))</f>
        <v/>
      </c>
      <c r="J70">
        <f>COUNTIFS('RequestStats'!I:I, "A tiempo", 'RequestStats'!E:E,'Metricas 2025'!H70, RequestStats!C:C, "&gt;=" &amp; DATE(2025,1,1), RequestStats!C:C, "&lt;=" &amp; DATE(2025,3,31))</f>
        <v/>
      </c>
      <c r="K70">
        <f>COUNTIFS('RequestStats'!I:I, "Fuera de tiempo", 'RequestStats'!E:E,'Metricas 2025'!H70, RequestStats!C:C, "&gt;=" &amp; DATE(2025,1,1), RequestStats!C:C, "&lt;=" &amp; DATE(2025,3,31))</f>
        <v/>
      </c>
      <c r="L70" s="12">
        <f>AVERAGEIFS('RequestStats'!H:H, 'RequestStats'!C:C, "&gt;=" &amp; DATE(2025,1,1), 'RequestStats'!C:C, "&lt;=" &amp; DATE(2025,3,31), 'RequestStats'!E:E, Tabla7920[[#This Row],[Gestores]])</f>
        <v/>
      </c>
    </row>
    <row r="71">
      <c r="C71" s="38" t="inlineStr">
        <is>
          <t>Prestamo</t>
        </is>
      </c>
      <c r="D71" s="38">
        <f>COUNTIFS('RequestStats'!C:C, "&gt;=" &amp; DATE(2025,1,1), 'RequestStats'!C:C, "&lt;=" &amp; DATE(2025,3,31), 'RequestStats'!F:F, "Dentro del Horario", 'RequestStats'!B:B, "Prestamo" )</f>
        <v/>
      </c>
      <c r="E71" s="38">
        <f>COUNTIFS('RequestStats'!C:C, "&gt;=" &amp; DATE(2025,1,1), 'RequestStats'!C:C, "&lt;=" &amp; DATE(2025,3,31), 'RequestStats'!F:F, "Fuera de Horario", 'RequestStats'!B:B, "Prestamo" )</f>
        <v/>
      </c>
      <c r="F71" s="38">
        <f>SUM(D71:E71)</f>
        <v/>
      </c>
      <c r="H71" t="inlineStr">
        <is>
          <t>Julio A Thomas G</t>
        </is>
      </c>
      <c r="I71">
        <f>COUNTIFS('RequestStats'!E:E,Tabla7920[[#This Row],[Gestores]], 'RequestStats'!C:C, "&gt;=" &amp; DATE(2025,1,1), 'RequestStats'!C:C, "&lt;=" &amp; DATE(2025,3,31))</f>
        <v/>
      </c>
      <c r="J71">
        <f>COUNTIFS('RequestStats'!I:I, "A tiempo", 'RequestStats'!E:E,'Metricas 2025'!H71, RequestStats!C:C, "&gt;=" &amp; DATE(2025,1,1), RequestStats!C:C, "&lt;=" &amp; DATE(2025,3,31))</f>
        <v/>
      </c>
      <c r="K71">
        <f>COUNTIFS('RequestStats'!I:I, "Fuera de tiempo", 'RequestStats'!E:E,'Metricas 2025'!H71, RequestStats!C:C, "&gt;=" &amp; DATE(2025,1,1), RequestStats!C:C, "&lt;=" &amp; DATE(2025,3,31))</f>
        <v/>
      </c>
      <c r="L71" s="12">
        <f>AVERAGEIFS('RequestStats'!H:H, 'RequestStats'!C:C, "&gt;=" &amp; DATE(2025,1,1), 'RequestStats'!C:C, "&lt;=" &amp; DATE(2025,3,31), 'RequestStats'!E:E, Tabla7920[[#This Row],[Gestores]])</f>
        <v/>
      </c>
    </row>
    <row r="72">
      <c r="C72" s="36" t="inlineStr">
        <is>
          <t>Total general</t>
        </is>
      </c>
      <c r="D72" s="37">
        <f>SUM(D70:D71)</f>
        <v/>
      </c>
      <c r="E72" s="37">
        <f>SUM(E70:E71)</f>
        <v/>
      </c>
      <c r="F72" s="37">
        <f>SUM(F70:F71)</f>
        <v/>
      </c>
    </row>
    <row r="85">
      <c r="C85" s="155" t="inlineStr">
        <is>
          <t>Trimestre 2 - Stats</t>
        </is>
      </c>
      <c r="H85" s="155" t="inlineStr">
        <is>
          <t>Trimestre 2 - Stats</t>
        </is>
      </c>
    </row>
    <row r="86">
      <c r="C86" s="152" t="n"/>
      <c r="D86" s="152" t="n"/>
      <c r="E86" s="152" t="n"/>
      <c r="F86" s="152" t="n"/>
    </row>
    <row r="87">
      <c r="C87" s="156" t="inlineStr">
        <is>
          <t>Metas del  tiempo</t>
        </is>
      </c>
      <c r="D87" s="157" t="n"/>
      <c r="E87" s="158" t="n"/>
      <c r="F87" s="150" t="inlineStr">
        <is>
          <t>PRUDENCIA</t>
        </is>
      </c>
      <c r="G87" s="158" t="n"/>
    </row>
    <row r="88">
      <c r="C88" s="22" t="inlineStr">
        <is>
          <t>A tiempo</t>
        </is>
      </c>
      <c r="D88" t="inlineStr">
        <is>
          <t>Fuera de tiempo</t>
        </is>
      </c>
      <c r="E88" s="23" t="inlineStr">
        <is>
          <t>Promedio Tiempo de respuesta</t>
        </is>
      </c>
      <c r="F88" s="26" t="inlineStr">
        <is>
          <t>Dentro del horario</t>
        </is>
      </c>
      <c r="G88" s="19" t="inlineStr">
        <is>
          <t>Fuera de horario</t>
        </is>
      </c>
    </row>
    <row r="89">
      <c r="C89" s="20">
        <f>COUNTIFS('RequestStats'!H:H, "&lt;=00:59:59", 'RequestStats'!C:C, "&gt;=" &amp; DATE(2025,4,1), 'RequestStats'!C:C, "&lt;=" &amp; DATE(2025,6,31))</f>
        <v/>
      </c>
      <c r="D89" s="24">
        <f>COUNTIFS('RequestStats'!H:H, "&gt;=00:60:00", 'RequestStats'!C:C, "&gt;=" &amp; DATE(2025,4,1), 'RequestStats'!C:C, "&lt;=" &amp; DATE(2025,6,31))</f>
        <v/>
      </c>
      <c r="E89" s="25">
        <f>AVERAGEIFS('RequestStats'!H:H, 'RequestStats'!C:C, "&gt;=" &amp; DATE(2025,4,1), 'RequestStats'!C:C, "&lt;=" &amp; DATE(2025,6,31))</f>
        <v/>
      </c>
      <c r="F89" s="24">
        <f>COUNTIFS('RequestStats'!C:C, "&gt;=" &amp; DATE(2025,4,1), 'RequestStats'!C:C, "&lt;=" &amp; DATE(2025,6,31), 'RequestStats'!F:F, "Dentro del Horario")</f>
        <v/>
      </c>
      <c r="G89" s="21">
        <f>COUNTIFS('RequestStats'!C:C, "&gt;=" &amp; DATE(2025,4,1), 'RequestStats'!C:C, "&lt;=" &amp; DATE(2025,6,31), 'RequestStats'!F:F, "Fuera de Horario")</f>
        <v/>
      </c>
    </row>
    <row r="90">
      <c r="C90" s="152" t="n"/>
      <c r="D90" s="152" t="n"/>
      <c r="E90" s="152" t="n"/>
      <c r="F90" s="152" t="n"/>
    </row>
    <row r="91">
      <c r="C91" s="36" t="inlineStr">
        <is>
          <t>Trimestre 2 - Stats</t>
        </is>
      </c>
      <c r="D91" s="36" t="n"/>
      <c r="E91" s="36" t="n"/>
      <c r="F91" s="36" t="n"/>
      <c r="H91" t="inlineStr">
        <is>
          <t>Gestores</t>
        </is>
      </c>
      <c r="I91" t="inlineStr">
        <is>
          <t>Total</t>
        </is>
      </c>
      <c r="J91" t="inlineStr">
        <is>
          <t>A tiempo</t>
        </is>
      </c>
      <c r="K91" t="inlineStr">
        <is>
          <t>Fuera de tiempo</t>
        </is>
      </c>
      <c r="L91" t="inlineStr">
        <is>
          <t>Promedio</t>
        </is>
      </c>
    </row>
    <row r="92">
      <c r="C92" s="36" t="inlineStr">
        <is>
          <t>Cuenta de Solicitud</t>
        </is>
      </c>
      <c r="D92" s="36" t="inlineStr">
        <is>
          <t>Etiquetas de columna</t>
        </is>
      </c>
      <c r="E92" s="36" t="n"/>
      <c r="F92" s="36" t="n"/>
      <c r="H92" t="inlineStr">
        <is>
          <t>Kevin F Fernandez U</t>
        </is>
      </c>
      <c r="I92">
        <f>COUNTIFS('RequestStats'!E:E,Tabla711121122[[#This Row],[Gestores]], 'RequestStats'!C:C, "&gt;=" &amp; DATE(2025,4,1), 'RequestStats'!C:C, "&lt;=" &amp; DATE(2025,6,31))</f>
        <v/>
      </c>
      <c r="J92">
        <f>COUNTIFS('RequestStats'!I:I, "A tiempo", 'RequestStats'!E:E,Tabla711121122[[#This Row],[Gestores]], 'RequestStats'!C:C, "&gt;=" &amp; DATE(2025,4,1), 'RequestStats'!C:C, "&lt;=" &amp; DATE(2025,6,31))</f>
        <v/>
      </c>
      <c r="K92">
        <f>COUNTIFS('RequestStats'!I:I, "Fuera de tiempo", 'RequestStats'!E:E,Tabla711121122[[#This Row],[Gestores]], 'RequestStats'!C:C, "&gt;=" &amp; DATE(2025,4,1), 'RequestStats'!C:C, "&lt;=" &amp; DATE(2025,6,31))</f>
        <v/>
      </c>
      <c r="L92" s="12">
        <f>AVERAGEIFS('RequestStats'!H:H, 'RequestStats'!C:C, "&gt;=" &amp; DATE(2025,4,1), 'RequestStats'!C:C, "&lt;=" &amp; DATE(2025,6,31), 'RequestStats'!E:E, Tabla711121122[[#This Row],[Gestores]])</f>
        <v/>
      </c>
    </row>
    <row r="93">
      <c r="C93" s="36" t="inlineStr">
        <is>
          <t>Etiquetas de fila</t>
        </is>
      </c>
      <c r="D93" s="36" t="inlineStr">
        <is>
          <t>Dentro del horario</t>
        </is>
      </c>
      <c r="E93" s="36" t="inlineStr">
        <is>
          <t>Fuera de horario</t>
        </is>
      </c>
      <c r="F93" s="36" t="inlineStr">
        <is>
          <t>Total general</t>
        </is>
      </c>
      <c r="H93" t="inlineStr">
        <is>
          <t>Moises A Laureano M</t>
        </is>
      </c>
      <c r="I93">
        <f>COUNTIFS('RequestStats'!E:E,Tabla711121122[[#This Row],[Gestores]], 'RequestStats'!C:C, "&gt;=" &amp; DATE(2025,4,1), 'RequestStats'!C:C, "&lt;=" &amp; DATE(2025,6,31))</f>
        <v/>
      </c>
      <c r="J93">
        <f>COUNTIFS('RequestStats'!I:I, "A tiempo", 'RequestStats'!E:E,Tabla711121122[[#This Row],[Gestores]], 'RequestStats'!C:C, "&gt;=" &amp; DATE(2025,4,1), 'RequestStats'!C:C, "&lt;=" &amp; DATE(2025,6,31))</f>
        <v/>
      </c>
      <c r="K93">
        <f>COUNTIFS('RequestStats'!I:I, "Fuera de tiempo", 'RequestStats'!E:E,Tabla711121122[[#This Row],[Gestores]], 'RequestStats'!C:C, "&gt;=" &amp; DATE(2025,4,1), 'RequestStats'!C:C, "&lt;=" &amp; DATE(2025,6,31))</f>
        <v/>
      </c>
      <c r="L93" s="12">
        <f>AVERAGEIFS('RequestStats'!H:H, 'RequestStats'!C:C, "&gt;=" &amp; DATE(2025,4,1), 'RequestStats'!C:C, "&lt;=" &amp; DATE(2025,6,31), 'RequestStats'!E:E, Tabla711121122[[#This Row],[Gestores]])</f>
        <v/>
      </c>
    </row>
    <row r="94">
      <c r="C94" s="38" t="inlineStr">
        <is>
          <t>Copia Digital</t>
        </is>
      </c>
      <c r="D94" s="39">
        <f>COUNTIFS('RequestStats'!C:C, "&gt;=" &amp; DATE(2025,4,1), 'RequestStats'!C:C, "&lt;=" &amp; DATE(2025,6,31), 'RequestStats'!F:F, "Dentro del Horario", 'RequestStats'!B:B, "Copia Digital" )</f>
        <v/>
      </c>
      <c r="E94" s="39">
        <f>COUNTIFS('RequestStats'!C:C, "&gt;=" &amp; DATE(2025,4,1), 'RequestStats'!C:C, "&lt;=" &amp; DATE(2025,6,31), 'RequestStats'!F:F, "Fuera de Horario", 'RequestStats'!B:B, "Copia Digital" )</f>
        <v/>
      </c>
      <c r="F94" s="38">
        <f>SUM(D94:E94)</f>
        <v/>
      </c>
      <c r="H94" t="inlineStr">
        <is>
          <t>Andersson Beltre</t>
        </is>
      </c>
      <c r="I94">
        <f>COUNTIFS('RequestStats'!E:E,Tabla711121122[[#This Row],[Gestores]], 'RequestStats'!C:C, "&gt;=" &amp; DATE(2025,4,1), 'RequestStats'!C:C, "&lt;=" &amp; DATE(2025,6,31))</f>
        <v/>
      </c>
      <c r="J94">
        <f>COUNTIFS('RequestStats'!I:I, "A tiempo", 'RequestStats'!E:E,Tabla711121122[[#This Row],[Gestores]], 'RequestStats'!C:C, "&gt;=" &amp; DATE(2025,4,1), 'RequestStats'!C:C, "&lt;=" &amp; DATE(2025,6,31))</f>
        <v/>
      </c>
      <c r="K94">
        <f>COUNTIFS('RequestStats'!I:I, "Fuera de tiempo", 'RequestStats'!E:E,Tabla711121122[[#This Row],[Gestores]], 'RequestStats'!C:C, "&gt;=" &amp; DATE(2025,4,1), 'RequestStats'!C:C, "&lt;=" &amp; DATE(2025,6,31))</f>
        <v/>
      </c>
      <c r="L94" s="12">
        <f>AVERAGEIFS('RequestStats'!H:H, 'RequestStats'!C:C, "&gt;=" &amp; DATE(2025,4,1), 'RequestStats'!C:C, "&lt;=" &amp; DATE(2025,6,31), 'RequestStats'!E:E, Tabla711121122[[#This Row],[Gestores]])</f>
        <v/>
      </c>
    </row>
    <row r="95">
      <c r="C95" s="38" t="inlineStr">
        <is>
          <t>Prestamo</t>
        </is>
      </c>
      <c r="D95" s="38">
        <f>COUNTIFS('RequestStats'!C:C, "&gt;=" &amp; DATE(2025,4,1), 'RequestStats'!C:C, "&lt;=" &amp; DATE(2025,6,31), 'RequestStats'!F:F, "Dentro del Horario", 'RequestStats'!B:B, "Prestamo" )</f>
        <v/>
      </c>
      <c r="E95" s="38">
        <f>COUNTIFS('RequestStats'!C:C, "&gt;=" &amp; DATE(2025,4,1), 'RequestStats'!C:C, "&lt;=" &amp; DATE(2025,6,31), 'RequestStats'!F:F, "Fuera de Horario", 'RequestStats'!B:B, "Prestamo" )</f>
        <v/>
      </c>
      <c r="F95" s="38">
        <f>SUM(D95:E95)</f>
        <v/>
      </c>
      <c r="H95" t="inlineStr">
        <is>
          <t>Julio A Thomas G</t>
        </is>
      </c>
      <c r="I95">
        <f>COUNTIFS('RequestStats'!E:E,Tabla711121122[[#This Row],[Gestores]], 'RequestStats'!C:C, "&gt;=" &amp; DATE(2025,4,1), 'RequestStats'!C:C, "&lt;=" &amp; DATE(2025,6,31))</f>
        <v/>
      </c>
      <c r="J95">
        <f>COUNTIFS('RequestStats'!I:I, "A tiempo", 'RequestStats'!E:E,Tabla711121122[[#This Row],[Gestores]], 'RequestStats'!C:C, "&gt;=" &amp; DATE(2025,4,1), 'RequestStats'!C:C, "&lt;=" &amp; DATE(2025,6,31))</f>
        <v/>
      </c>
      <c r="K95">
        <f>COUNTIFS('RequestStats'!I:I, "Fuera de tiempo", 'RequestStats'!E:E,Tabla711121122[[#This Row],[Gestores]], 'RequestStats'!C:C, "&gt;=" &amp; DATE(2025,4,1), 'RequestStats'!C:C, "&lt;=" &amp; DATE(2025,6,31))</f>
        <v/>
      </c>
      <c r="L95" s="12">
        <f>AVERAGEIFS('RequestStats'!H:H, 'RequestStats'!C:C, "&gt;=" &amp; DATE(2025,4,1), 'RequestStats'!C:C, "&lt;=" &amp; DATE(2025,6,31), 'RequestStats'!E:E, Tabla711121122[[#This Row],[Gestores]])</f>
        <v/>
      </c>
    </row>
    <row r="96">
      <c r="C96" s="36" t="inlineStr">
        <is>
          <t>Total general</t>
        </is>
      </c>
      <c r="D96" s="37">
        <f>SUM(D94:D95)</f>
        <v/>
      </c>
      <c r="E96" s="37">
        <f>SUM(E94:E95)</f>
        <v/>
      </c>
      <c r="F96" s="37">
        <f>SUM(F94:F95)</f>
        <v/>
      </c>
      <c r="H96" t="inlineStr">
        <is>
          <t>Elvis G Valdez M</t>
        </is>
      </c>
      <c r="I96">
        <f>COUNTIFS('RequestStats'!E:E,Tabla711121122[[#This Row],[Gestores]], 'RequestStats'!C:C, "&gt;=" &amp; DATE(2025,4,1), 'RequestStats'!C:C, "&lt;=" &amp; DATE(2025,6,31))</f>
        <v/>
      </c>
      <c r="J96">
        <f>COUNTIFS('RequestStats'!I:I, "A tiempo", 'RequestStats'!E:E,Tabla711121122[[#This Row],[Gestores]], 'RequestStats'!C:C, "&gt;=" &amp; DATE(2025,4,1), 'RequestStats'!C:C, "&lt;=" &amp; DATE(2025,6,31))</f>
        <v/>
      </c>
      <c r="K96">
        <f>COUNTIFS('RequestStats'!I:I, "Fuera de tiempo", 'RequestStats'!E:E,Tabla711121122[[#This Row],[Gestores]], 'RequestStats'!C:C, "&gt;=" &amp; DATE(2025,4,1), 'RequestStats'!C:C, "&lt;=" &amp; DATE(2025,6,31))</f>
        <v/>
      </c>
      <c r="L96" s="12">
        <f>AVERAGEIFS('RequestStats'!H:H, 'RequestStats'!C:C, "&gt;=" &amp; DATE(2025,4,1), 'RequestStats'!C:C, "&lt;=" &amp; DATE(2025,6,31), 'RequestStats'!E:E, Tabla711121122[[#This Row],[Gestores]])</f>
        <v/>
      </c>
    </row>
    <row r="97">
      <c r="H97" t="inlineStr">
        <is>
          <t>Julio Adolfo Merino Feliciano</t>
        </is>
      </c>
      <c r="I97">
        <f>COUNTIFS('RequestStats'!E:E,Tabla711121122[[#This Row],[Gestores]], 'RequestStats'!C:C, "&gt;=" &amp; DATE(2025,4,1), 'RequestStats'!C:C, "&lt;=" &amp; DATE(2025,6,31))</f>
        <v/>
      </c>
      <c r="J97">
        <f>COUNTIFS('RequestStats'!I:I, "A tiempo", 'RequestStats'!E:E,Tabla711121122[[#This Row],[Gestores]], 'RequestStats'!C:C, "&gt;=" &amp; DATE(2025,4,1), 'RequestStats'!C:C, "&lt;=" &amp; DATE(2025,6,31))</f>
        <v/>
      </c>
      <c r="K97">
        <f>COUNTIFS('RequestStats'!I:I, "Fuera de tiempo", 'RequestStats'!E:E,Tabla711121122[[#This Row],[Gestores]], 'RequestStats'!C:C, "&gt;=" &amp; DATE(2025,4,1), 'RequestStats'!C:C, "&lt;=" &amp; DATE(2025,6,31))</f>
        <v/>
      </c>
      <c r="L97" s="12">
        <f>AVERAGEIFS('RequestStats'!H:H, 'RequestStats'!C:C, "&gt;=" &amp; DATE(2025,4,1), 'RequestStats'!C:C, "&lt;=" &amp; DATE(2025,6,31), 'RequestStats'!E:E, Tabla711121122[[#This Row],[Gestores]])</f>
        <v/>
      </c>
    </row>
    <row r="98">
      <c r="L98" s="12" t="n"/>
    </row>
    <row r="99">
      <c r="L99" s="12" t="n"/>
    </row>
    <row r="111">
      <c r="C111" s="155" t="inlineStr">
        <is>
          <t>Trimestre 3 - Stats</t>
        </is>
      </c>
      <c r="H111" s="155" t="inlineStr">
        <is>
          <t>Trimestre 3 - Stats</t>
        </is>
      </c>
    </row>
    <row r="112">
      <c r="C112" s="152" t="n"/>
      <c r="D112" s="152" t="n"/>
      <c r="E112" s="152" t="n"/>
      <c r="F112" s="152" t="n"/>
    </row>
    <row r="113">
      <c r="C113" s="156" t="inlineStr">
        <is>
          <t>Metas del  tiempo</t>
        </is>
      </c>
      <c r="D113" s="157" t="n"/>
      <c r="E113" s="158" t="n"/>
      <c r="F113" s="150" t="inlineStr">
        <is>
          <t>PRUDENCIA</t>
        </is>
      </c>
      <c r="G113" s="158" t="n"/>
    </row>
    <row r="114">
      <c r="C114" s="22" t="inlineStr">
        <is>
          <t>A tiempo</t>
        </is>
      </c>
      <c r="D114" t="inlineStr">
        <is>
          <t>Fuera de tiempo</t>
        </is>
      </c>
      <c r="E114" s="23" t="inlineStr">
        <is>
          <t>Promedio Tiempo de respuesta</t>
        </is>
      </c>
      <c r="F114" s="26" t="inlineStr">
        <is>
          <t>Dentro del horario</t>
        </is>
      </c>
      <c r="G114" s="19" t="inlineStr">
        <is>
          <t>Fuera de horario</t>
        </is>
      </c>
    </row>
    <row r="115">
      <c r="C115" s="20">
        <f>COUNTIFS('RequestStats'!H:H, "&lt;=01:59:59", 'RequestStats'!C:C, "&gt;=" &amp; DATE(2025,7,1), 'RequestStats'!C:C, "&lt;=" &amp; DATE(2025,9,31))</f>
        <v/>
      </c>
      <c r="D115" s="24">
        <f>COUNTIFS('RequestStats'!H:H, "&gt;=02:00:00", 'RequestStats'!C:C, "&gt;=" &amp; DATE(2025,7,1), 'RequestStats'!C:C, "&lt;=" &amp; DATE(2025,9,31))</f>
        <v/>
      </c>
      <c r="E115" s="25">
        <f>AVERAGEIFS('RequestStats'!H:H, 'RequestStats'!C:C, "&gt;=" &amp; DATE(2025,7,1), 'RequestStats'!C:C, "&lt;=" &amp; DATE(2025,9,30))</f>
        <v/>
      </c>
      <c r="F115" s="24">
        <f>COUNTIFS('RequestStats'!C:C, "&gt;=" &amp; DATE(2025,7,1), 'RequestStats'!C:C, "&lt;=" &amp; DATE(2025,9,31), 'RequestStats'!F:F, "Dentro del Horario")</f>
        <v/>
      </c>
      <c r="G115" s="21">
        <f>COUNTIFS('RequestStats'!C:C, "&gt;=" &amp; DATE(2025,7,1), 'RequestStats'!C:C, "&lt;=" &amp; DATE(2025,9,31), 'RequestStats'!F:F, "Fuera de Horario")</f>
        <v/>
      </c>
    </row>
    <row r="116">
      <c r="C116" s="152" t="n"/>
      <c r="D116" s="152" t="n"/>
      <c r="E116" s="152" t="n"/>
      <c r="F116" s="152" t="n"/>
    </row>
    <row r="117">
      <c r="C117" s="36" t="inlineStr">
        <is>
          <t>Trimestre 3 - Stats</t>
        </is>
      </c>
      <c r="D117" s="36" t="n"/>
      <c r="E117" s="36" t="n"/>
      <c r="F117" s="36" t="n"/>
      <c r="H117" t="inlineStr">
        <is>
          <t>Gestores</t>
        </is>
      </c>
      <c r="I117" t="inlineStr">
        <is>
          <t>Total</t>
        </is>
      </c>
      <c r="J117" t="inlineStr">
        <is>
          <t>A tiempo</t>
        </is>
      </c>
      <c r="K117" t="inlineStr">
        <is>
          <t>Fuera de tiempo</t>
        </is>
      </c>
      <c r="L117" t="inlineStr">
        <is>
          <t>Promedio</t>
        </is>
      </c>
    </row>
    <row r="118">
      <c r="C118" s="36" t="inlineStr">
        <is>
          <t>Cuenta de Solicitud</t>
        </is>
      </c>
      <c r="D118" s="36" t="inlineStr">
        <is>
          <t>Etiquetas de columna</t>
        </is>
      </c>
      <c r="E118" s="36" t="n"/>
      <c r="F118" s="36" t="n"/>
      <c r="H118" t="inlineStr">
        <is>
          <t>Kevin F Fernandez U</t>
        </is>
      </c>
      <c r="I118">
        <f>COUNTIFS('RequestStats'!E:E,Tabla7111221[[#This Row],[Gestores]], 'RequestStats'!C:C, "&gt;=" &amp; DATE(2025,7,1), 'RequestStats'!C:C, "&lt;=" &amp; DATE(2025,9,31))</f>
        <v/>
      </c>
      <c r="J118">
        <f>COUNTIFS('RequestStats'!I:I, "A tiempo", 'RequestStats'!E:E,Tabla7111221[[#This Row],[Gestores]], 'RequestStats'!C:C, "&gt;=" &amp; DATE(2025,7,1), 'RequestStats'!C:C, "&lt;=" &amp; DATE(2025,9,31))</f>
        <v/>
      </c>
      <c r="K118">
        <f>COUNTIFS('RequestStats'!I:I, "Fuera de tiempo", 'RequestStats'!E:E,Tabla7111221[[#This Row],[Gestores]], 'RequestStats'!C:C, "&gt;=" &amp; DATE(2025,7,1), 'RequestStats'!C:C, "&lt;=" &amp; DATE(2025,9,31))</f>
        <v/>
      </c>
      <c r="L118" s="12">
        <f>AVERAGEIFS('RequestStats'!H:H, 'RequestStats'!C:C, "&gt;=" &amp; DATE(2025,7,1), 'RequestStats'!C:C, "&lt;=" &amp; DATE(2025,9,31), 'RequestStats'!E:E, Tabla7111221[[#This Row],[Gestores]])</f>
        <v/>
      </c>
    </row>
    <row r="119">
      <c r="C119" s="36" t="inlineStr">
        <is>
          <t>Etiquetas de fila</t>
        </is>
      </c>
      <c r="D119" s="36" t="inlineStr">
        <is>
          <t>Dentro del horario</t>
        </is>
      </c>
      <c r="E119" s="36" t="inlineStr">
        <is>
          <t>Fuera de horario</t>
        </is>
      </c>
      <c r="F119" s="36" t="inlineStr">
        <is>
          <t>Total general</t>
        </is>
      </c>
      <c r="H119" t="inlineStr">
        <is>
          <t>Moises A Laureano M</t>
        </is>
      </c>
      <c r="I119">
        <f>COUNTIFS('RequestStats'!E:E,Tabla7111221[[#This Row],[Gestores]], 'RequestStats'!C:C, "&gt;=" &amp; DATE(2025,7,1), 'RequestStats'!C:C, "&lt;=" &amp; DATE(2025,9,31))</f>
        <v/>
      </c>
      <c r="J119">
        <f>COUNTIFS('RequestStats'!I:I, "A tiempo", 'RequestStats'!E:E,Tabla7111221[[#This Row],[Gestores]], 'RequestStats'!C:C, "&gt;=" &amp; DATE(2025,7,1), 'RequestStats'!C:C, "&lt;=" &amp; DATE(2025,9,31))</f>
        <v/>
      </c>
      <c r="K119">
        <f>COUNTIFS('RequestStats'!I:I, "Fuera de tiempo", 'RequestStats'!E:E,Tabla7111221[[#This Row],[Gestores]], 'RequestStats'!C:C, "&gt;=" &amp; DATE(2025,7,1), 'RequestStats'!C:C, "&lt;=" &amp; DATE(2025,9,31))</f>
        <v/>
      </c>
      <c r="L119" s="12">
        <f>AVERAGEIFS('RequestStats'!H:H, 'RequestStats'!C:C, "&gt;=" &amp; DATE(2025,7,1), 'RequestStats'!C:C, "&lt;=" &amp; DATE(2025,9,31), 'RequestStats'!E:E, Tabla7111221[[#This Row],[Gestores]])</f>
        <v/>
      </c>
    </row>
    <row r="120">
      <c r="C120" s="38" t="inlineStr">
        <is>
          <t>Copia Digital</t>
        </is>
      </c>
      <c r="D120" s="39">
        <f>COUNTIFS('RequestStats'!C:C, "&gt;=" &amp; DATE(2025,7,1), 'RequestStats'!C:C, "&lt;=" &amp; DATE(2025,9,31), 'RequestStats'!F:F, "Dentro del Horario", 'RequestStats'!B:B, "Copia Digital")</f>
        <v/>
      </c>
      <c r="E120" s="39">
        <f>COUNTIFS('RequestStats'!C:C, "&gt;=" &amp; DATE(2025,7,1), 'RequestStats'!C:C, "&lt;=" &amp; DATE(2025,9,31), 'RequestStats'!F:F, "Fuera de Horario", 'RequestStats'!B:B, "Copia Digital")</f>
        <v/>
      </c>
      <c r="F120" s="38">
        <f>D120+E120</f>
        <v/>
      </c>
      <c r="H120" t="inlineStr">
        <is>
          <t>Andersson Beltre</t>
        </is>
      </c>
      <c r="I120">
        <f>COUNTIFS('RequestStats'!E:E,Tabla7111221[[#This Row],[Gestores]], 'RequestStats'!C:C, "&gt;=" &amp; DATE(2025,7,1), 'RequestStats'!C:C, "&lt;=" &amp; DATE(2025,9,31))</f>
        <v/>
      </c>
      <c r="J120">
        <f>COUNTIFS('RequestStats'!I:I, "A tiempo", 'RequestStats'!E:E,Tabla7111221[[#This Row],[Gestores]], 'RequestStats'!C:C, "&gt;=" &amp; DATE(2025,7,1), 'RequestStats'!C:C, "&lt;=" &amp; DATE(2025,9,31))</f>
        <v/>
      </c>
      <c r="K120">
        <f>COUNTIFS('RequestStats'!I:I, "Fuera de tiempo", 'RequestStats'!E:E,Tabla7111221[[#This Row],[Gestores]], 'RequestStats'!C:C, "&gt;=" &amp; DATE(2025,7,1), 'RequestStats'!C:C, "&lt;=" &amp; DATE(2025,9,31))</f>
        <v/>
      </c>
      <c r="L120" s="12">
        <f>AVERAGEIFS('RequestStats'!H:H, 'RequestStats'!C:C, "&gt;=" &amp; DATE(2025,7,1), 'RequestStats'!C:C, "&lt;=" &amp; DATE(2025,9,31), 'RequestStats'!E:E, Tabla7111221[[#This Row],[Gestores]])</f>
        <v/>
      </c>
    </row>
    <row r="121">
      <c r="C121" s="38" t="inlineStr">
        <is>
          <t>Prestamo</t>
        </is>
      </c>
      <c r="D121" s="38">
        <f>COUNTIFS('RequestStats'!C:C, "&gt;=" &amp; DATE(2025,7,1), 'RequestStats'!C:C, "&lt;=" &amp; DATE(2025,9,31), 'RequestStats'!F:F, "Dentro del Horario", 'RequestStats'!B:B, "Prestamo")</f>
        <v/>
      </c>
      <c r="E121" s="38">
        <f>COUNTIFS('RequestStats'!C:C, "&gt;=" &amp; DATE(2025,7,1), 'RequestStats'!C:C, "&lt;=" &amp; DATE(2025,9,31), 'RequestStats'!F:F, "Fuera de Horario", 'RequestStats'!B:B, "Prestamo")</f>
        <v/>
      </c>
      <c r="F121" s="38">
        <f>D121+E121</f>
        <v/>
      </c>
      <c r="H121" t="inlineStr">
        <is>
          <t>Julio A Thomas G</t>
        </is>
      </c>
      <c r="I121">
        <f>COUNTIFS('RequestStats'!E:E,Tabla7111221[[#This Row],[Gestores]], 'RequestStats'!C:C, "&gt;=" &amp; DATE(2025,7,1), 'RequestStats'!C:C, "&lt;=" &amp; DATE(2025,9,31))</f>
        <v/>
      </c>
      <c r="J121">
        <f>COUNTIFS('RequestStats'!I:I, "A tiempo", 'RequestStats'!E:E,Tabla7111221[[#This Row],[Gestores]], 'RequestStats'!C:C, "&gt;=" &amp; DATE(2025,7,1), 'RequestStats'!C:C, "&lt;=" &amp; DATE(2025,9,31))</f>
        <v/>
      </c>
      <c r="K121">
        <f>COUNTIFS('RequestStats'!I:I, "Fuera de tiempo", 'RequestStats'!E:E,Tabla7111221[[#This Row],[Gestores]], 'RequestStats'!C:C, "&gt;=" &amp; DATE(2025,7,1), 'RequestStats'!C:C, "&lt;=" &amp; DATE(2025,9,31))</f>
        <v/>
      </c>
      <c r="L121" s="12">
        <f>AVERAGEIFS('RequestStats'!H:H, 'RequestStats'!C:C, "&gt;=" &amp; DATE(2025,7,1), 'RequestStats'!C:C, "&lt;=" &amp; DATE(2025,9,31), 'RequestStats'!E:E, Tabla7111221[[#This Row],[Gestores]])</f>
        <v/>
      </c>
    </row>
    <row r="122">
      <c r="C122" s="36" t="inlineStr">
        <is>
          <t>Total general</t>
        </is>
      </c>
      <c r="D122" s="37">
        <f>SUM(D120:D121)</f>
        <v/>
      </c>
      <c r="E122" s="37">
        <f>SUM(E120:E121)</f>
        <v/>
      </c>
      <c r="F122" s="37">
        <f>SUM(F120:F121)</f>
        <v/>
      </c>
      <c r="H122" t="inlineStr">
        <is>
          <t>Elvis G Valdez M</t>
        </is>
      </c>
      <c r="I122">
        <f>COUNTIFS('RequestStats'!E:E,Tabla7111221[[#This Row],[Gestores]], 'RequestStats'!C:C, "&gt;=" &amp; DATE(2025,7,1), 'RequestStats'!C:C, "&lt;=" &amp; DATE(2025,9,31))</f>
        <v/>
      </c>
      <c r="J122">
        <f>COUNTIFS('RequestStats'!I:I, "A tiempo", 'RequestStats'!E:E,Tabla7111221[[#This Row],[Gestores]], 'RequestStats'!C:C, "&gt;=" &amp; DATE(2025,7,1), 'RequestStats'!C:C, "&lt;=" &amp; DATE(2025,9,31))</f>
        <v/>
      </c>
      <c r="K122">
        <f>COUNTIFS('RequestStats'!I:I, "Fuera de tiempo", 'RequestStats'!E:E,Tabla7111221[[#This Row],[Gestores]], 'RequestStats'!C:C, "&gt;=" &amp; DATE(2025,7,1), 'RequestStats'!C:C, "&lt;=" &amp; DATE(2025,9,31))</f>
        <v/>
      </c>
      <c r="L122" s="12">
        <f>AVERAGEIFS('RequestStats'!H:H, 'RequestStats'!C:C, "&gt;=" &amp; DATE(2025,7,1), 'RequestStats'!C:C, "&lt;=" &amp; DATE(2025,9,31), 'RequestStats'!E:E, Tabla7111221[[#This Row],[Gestores]])</f>
        <v/>
      </c>
    </row>
    <row r="123">
      <c r="H123" t="inlineStr">
        <is>
          <t>Genaro Corporan B</t>
        </is>
      </c>
      <c r="I123">
        <f>COUNTIFS('RequestStats'!E:E,Tabla7111221[[#This Row],[Gestores]], 'RequestStats'!C:C, "&gt;=" &amp; DATE(2025,7,1), 'RequestStats'!C:C, "&lt;=" &amp; DATE(2025,9,31))</f>
        <v/>
      </c>
      <c r="J123">
        <f>COUNTIFS('RequestStats'!I:I, "A tiempo", 'RequestStats'!E:E,Tabla7111221[[#This Row],[Gestores]], 'RequestStats'!C:C, "&gt;=" &amp; DATE(2025,7,1), 'RequestStats'!C:C, "&lt;=" &amp; DATE(2025,9,31))</f>
        <v/>
      </c>
      <c r="K123">
        <f>COUNTIFS('RequestStats'!I:I, "Fuera de tiempo", 'RequestStats'!E:E,Tabla7111221[[#This Row],[Gestores]], 'RequestStats'!C:C, "&gt;=" &amp; DATE(2025,7,1), 'RequestStats'!C:C, "&lt;=" &amp; DATE(2025,9,31))</f>
        <v/>
      </c>
      <c r="L123" s="12">
        <f>AVERAGEIFS('RequestStats'!H:H, 'RequestStats'!C:C, "&gt;=" &amp; DATE(2025,7,1), 'RequestStats'!C:C, "&lt;=" &amp; DATE(2025,9,31), 'RequestStats'!E:E, Tabla7111221[[#This Row],[Gestores]])</f>
        <v/>
      </c>
    </row>
    <row r="124">
      <c r="H124" t="inlineStr">
        <is>
          <t>Francisco Sanchez V</t>
        </is>
      </c>
      <c r="I124">
        <f>COUNTIFS('RequestStats'!E:E,Tabla7111221[[#This Row],[Gestores]], 'RequestStats'!C:C, "&gt;=" &amp; DATE(2025,7,1), 'RequestStats'!C:C, "&lt;=" &amp; DATE(2025,9,31))</f>
        <v/>
      </c>
      <c r="J124">
        <f>COUNTIFS('RequestStats'!I:I, "A tiempo", 'RequestStats'!E:E,Tabla7111221[[#This Row],[Gestores]], 'RequestStats'!C:C, "&gt;=" &amp; DATE(2025,7,1), 'RequestStats'!C:C, "&lt;=" &amp; DATE(2025,9,31))</f>
        <v/>
      </c>
      <c r="K124">
        <f>COUNTIFS('RequestStats'!I:I, "Fuera de tiempo", 'RequestStats'!E:E,Tabla7111221[[#This Row],[Gestores]], 'RequestStats'!C:C, "&gt;=" &amp; DATE(2025,7,1), 'RequestStats'!C:C, "&lt;=" &amp; DATE(2025,9,31))</f>
        <v/>
      </c>
      <c r="L124" s="12">
        <f>AVERAGEIFS('RequestStats'!H:H, 'RequestStats'!C:C, "&gt;=" &amp; DATE(2025,7,1), 'RequestStats'!C:C, "&lt;=" &amp; DATE(2025,9,31), 'RequestStats'!E:E, Tabla7111221[[#This Row],[Gestores]])</f>
        <v/>
      </c>
    </row>
    <row r="138">
      <c r="C138" s="155" t="inlineStr">
        <is>
          <t>Trimestre 4 - Stats</t>
        </is>
      </c>
      <c r="H138" s="155" t="inlineStr">
        <is>
          <t>Trimestre 4 - Stats</t>
        </is>
      </c>
    </row>
    <row r="140">
      <c r="C140" s="156" t="inlineStr">
        <is>
          <t>Metas del  tiempo</t>
        </is>
      </c>
      <c r="D140" s="157" t="n"/>
      <c r="E140" s="158" t="n"/>
      <c r="F140" s="150" t="inlineStr">
        <is>
          <t>PRUDENCIA</t>
        </is>
      </c>
      <c r="G140" s="158" t="n"/>
    </row>
    <row r="141">
      <c r="C141" s="22" t="inlineStr">
        <is>
          <t>A tiempo</t>
        </is>
      </c>
      <c r="D141" t="inlineStr">
        <is>
          <t>Fuera de tiempo</t>
        </is>
      </c>
      <c r="E141" s="23" t="inlineStr">
        <is>
          <t>Promedio Tiempo de respuesta</t>
        </is>
      </c>
      <c r="F141" s="26" t="inlineStr">
        <is>
          <t>Dentro del horario</t>
        </is>
      </c>
      <c r="G141" s="19" t="inlineStr">
        <is>
          <t>Fuera de horario</t>
        </is>
      </c>
    </row>
    <row r="142">
      <c r="C142" s="20">
        <f>COUNTIFS('RequestStats'!H:H, "&lt;=01:59:59", 'RequestStats'!C:C, "&gt;=" &amp; DATE(2025,10,1), 'RequestStats'!C:C, "&lt;=" &amp; DATE(2025,12,31))</f>
        <v/>
      </c>
      <c r="D142" s="24">
        <f>COUNTIFS('RequestStats'!H:H, "&gt;=02:00:00", 'RequestStats'!C:C, "&gt;=" &amp; DATE(2025,10,1), 'RequestStats'!C:C, "&lt;=" &amp; DATE(2025,12,31))</f>
        <v/>
      </c>
      <c r="E142" s="25">
        <f>AVERAGEIFS('RequestStats'!H:H, 'RequestStats'!C:C, "&gt;=" &amp; DATE(2025,10,1), 'RequestStats'!C:C, "&lt;=" &amp; DATE(2025,12,31))</f>
        <v/>
      </c>
      <c r="F142" s="24">
        <f>COUNTIFS('RequestStats'!C:C, "&gt;=" &amp; DATE(2025,10,1), 'RequestStats'!C:C, "&lt;=" &amp; DATE(2025,12,31), 'RequestStats'!F:F, "Dentro del Horario")</f>
        <v/>
      </c>
      <c r="G142" s="21">
        <f>COUNTIFS('RequestStats'!C:C, "&gt;=" &amp; DATE(2025,10,1), 'RequestStats'!C:C, "&lt;=" &amp; DATE(2025,12,31), 'RequestStats'!F:F, "Fuera de Horario")</f>
        <v/>
      </c>
    </row>
    <row r="144">
      <c r="C144" s="36" t="inlineStr">
        <is>
          <t>Trimestre 4 - Stats</t>
        </is>
      </c>
      <c r="D144" s="36" t="n"/>
      <c r="E144" s="36" t="n"/>
      <c r="F144" s="36" t="n"/>
      <c r="H144" t="inlineStr">
        <is>
          <t>Gestores</t>
        </is>
      </c>
      <c r="I144" t="inlineStr">
        <is>
          <t>Total</t>
        </is>
      </c>
      <c r="J144" t="inlineStr">
        <is>
          <t>A tiempo</t>
        </is>
      </c>
      <c r="K144" t="inlineStr">
        <is>
          <t>Fuera de tiempo</t>
        </is>
      </c>
      <c r="L144" t="inlineStr">
        <is>
          <t>Promedio</t>
        </is>
      </c>
    </row>
    <row r="145">
      <c r="C145" s="36" t="inlineStr">
        <is>
          <t>Cuenta de Solicitud</t>
        </is>
      </c>
      <c r="D145" s="36" t="inlineStr">
        <is>
          <t>Etiquetas de columna</t>
        </is>
      </c>
      <c r="E145" s="36" t="n"/>
      <c r="F145" s="36" t="n"/>
      <c r="H145" t="inlineStr">
        <is>
          <t>Kevin F Fernandez U</t>
        </is>
      </c>
      <c r="I145">
        <f>COUNTIFS('RequestStats'!E:E,Tabla711121323[[#This Row],[Gestores]], 'RequestStats'!C:C, "&gt;=" &amp; DATE(2025,10,1), 'RequestStats'!C:C, "&lt;=" &amp; DATE(2025,12,31))</f>
        <v/>
      </c>
      <c r="J145">
        <f>COUNTIFS('RequestStats'!I:I, "A tiempo", 'RequestStats'!E:E,Tabla711121323[[#This Row],[Gestores]], 'RequestStats'!C:C, "&gt;=" &amp; DATE(2025,10,1), 'RequestStats'!C:C, "&lt;=" &amp; DATE(2025,12,31))</f>
        <v/>
      </c>
      <c r="K145">
        <f>COUNTIFS('RequestStats'!I:I, "Fuera de tiempo", 'RequestStats'!E:E,Tabla711121323[[#This Row],[Gestores]], 'RequestStats'!C:C, "&gt;=" &amp; DATE(2025,10,1), 'RequestStats'!C:C, "&lt;=" &amp; DATE(2025,12,31))</f>
        <v/>
      </c>
      <c r="L145" s="12">
        <f>AVERAGEIFS('RequestStats'!H:H, 'RequestStats'!C:C, "&gt;=" &amp; DATE(2025,10,1), 'RequestStats'!C:C, "&lt;=" &amp; DATE(2025,12,31), 'RequestStats'!E:E, Tabla711121323[[#This Row],[Gestores]])</f>
        <v/>
      </c>
    </row>
    <row r="146">
      <c r="C146" s="36" t="inlineStr">
        <is>
          <t>Etiquetas de fila</t>
        </is>
      </c>
      <c r="D146" s="36" t="inlineStr">
        <is>
          <t>Dentro del horario</t>
        </is>
      </c>
      <c r="E146" s="36" t="inlineStr">
        <is>
          <t>Fuera de horario</t>
        </is>
      </c>
      <c r="F146" s="36" t="inlineStr">
        <is>
          <t>Total general</t>
        </is>
      </c>
      <c r="H146" t="inlineStr">
        <is>
          <t>Moises A Laureano M</t>
        </is>
      </c>
      <c r="I146">
        <f>COUNTIFS('RequestStats'!E:E,Tabla711121323[[#This Row],[Gestores]], 'RequestStats'!C:C, "&gt;=" &amp; DATE(2025,10,1), 'RequestStats'!C:C, "&lt;=" &amp; DATE(2025,12,31))</f>
        <v/>
      </c>
      <c r="J146">
        <f>COUNTIFS('RequestStats'!I:I, "A tiempo", 'RequestStats'!E:E,Tabla711121323[[#This Row],[Gestores]], 'RequestStats'!C:C, "&gt;=" &amp; DATE(2025,10,1), 'RequestStats'!C:C, "&lt;=" &amp; DATE(2025,12,31))</f>
        <v/>
      </c>
      <c r="K146">
        <f>COUNTIFS('RequestStats'!I:I, "Fuera de tiempo", 'RequestStats'!E:E,Tabla711121323[[#This Row],[Gestores]], 'RequestStats'!C:C, "&gt;=" &amp; DATE(2025,10,1), 'RequestStats'!C:C, "&lt;=" &amp; DATE(2025,12,31))</f>
        <v/>
      </c>
      <c r="L146" s="12">
        <f>AVERAGEIFS('RequestStats'!H:H, 'RequestStats'!C:C, "&gt;=" &amp; DATE(2025,10,1), 'RequestStats'!C:C, "&lt;=" &amp; DATE(2025,12,31), 'RequestStats'!E:E, Tabla711121323[[#This Row],[Gestores]])</f>
        <v/>
      </c>
    </row>
    <row r="147">
      <c r="C147" s="38" t="inlineStr">
        <is>
          <t>Copia Digital</t>
        </is>
      </c>
      <c r="D147" s="39">
        <f>COUNTIFS('RequestStats'!C:C, "&gt;=" &amp; DATE(2025,10,1), 'RequestStats'!C:C, "&lt;=" &amp; DATE(2025,12,31), 'RequestStats'!F:F, "Dentro del Horario", 'RequestStats'!B:B, "Copia Digital")</f>
        <v/>
      </c>
      <c r="E147" s="39">
        <f>COUNTIFS('RequestStats'!C:C, "&gt;=" &amp; DATE(2025,10,1), 'RequestStats'!C:C, "&lt;=" &amp; DATE(2025,12,31), 'RequestStats'!F:F, "Fuera de Horario", 'RequestStats'!B:B, "Copia Digital")</f>
        <v/>
      </c>
      <c r="F147" s="38">
        <f>D147+E147</f>
        <v/>
      </c>
      <c r="H147" t="inlineStr">
        <is>
          <t>Andersson Beltre</t>
        </is>
      </c>
      <c r="I147">
        <f>COUNTIFS('RequestStats'!E:E,Tabla711121323[[#This Row],[Gestores]], 'RequestStats'!C:C, "&gt;=" &amp; DATE(2025,10,1), 'RequestStats'!C:C, "&lt;=" &amp; DATE(2025,12,31))</f>
        <v/>
      </c>
      <c r="J147">
        <f>COUNTIFS('RequestStats'!I:I, "A tiempo", 'RequestStats'!E:E,Tabla711121323[[#This Row],[Gestores]], 'RequestStats'!C:C, "&gt;=" &amp; DATE(2025,10,1), 'RequestStats'!C:C, "&lt;=" &amp; DATE(2025,12,31))</f>
        <v/>
      </c>
      <c r="K147">
        <f>COUNTIFS('RequestStats'!I:I, "Fuera de tiempo", 'RequestStats'!E:E,Tabla711121323[[#This Row],[Gestores]], 'RequestStats'!C:C, "&gt;=" &amp; DATE(2025,10,1), 'RequestStats'!C:C, "&lt;=" &amp; DATE(2025,12,31))</f>
        <v/>
      </c>
      <c r="L147" s="12">
        <f>AVERAGEIFS('RequestStats'!H:H, 'RequestStats'!C:C, "&gt;=" &amp; DATE(2025,10,1), 'RequestStats'!C:C, "&lt;=" &amp; DATE(2025,12,31), 'RequestStats'!E:E, Tabla711121323[[#This Row],[Gestores]])</f>
        <v/>
      </c>
    </row>
    <row r="148">
      <c r="C148" s="38" t="inlineStr">
        <is>
          <t>Prestamo</t>
        </is>
      </c>
      <c r="D148" s="38">
        <f>COUNTIFS('RequestStats'!C:C, "&gt;=" &amp; DATE(2025,10,1), 'RequestStats'!C:C, "&lt;=" &amp; DATE(2025,12,31), 'RequestStats'!F:F, "Dentro del Horario", 'RequestStats'!B:B, "Prestamo")</f>
        <v/>
      </c>
      <c r="E148" s="38">
        <f>COUNTIFS('RequestStats'!C:C, "&gt;=" &amp; DATE(2025,10,1), 'RequestStats'!C:C, "&lt;=" &amp; DATE(2025,12,31), 'RequestStats'!F:F, "Fuera de Horario", 'RequestStats'!B:B, "Prestamo")</f>
        <v/>
      </c>
      <c r="F148" s="38">
        <f>D148+E148</f>
        <v/>
      </c>
      <c r="H148" t="inlineStr">
        <is>
          <t>Julio A Thomas G</t>
        </is>
      </c>
      <c r="I148">
        <f>COUNTIFS('RequestStats'!E:E,Tabla711121323[[#This Row],[Gestores]], 'RequestStats'!C:C, "&gt;=" &amp; DATE(2025,10,1), 'RequestStats'!C:C, "&lt;=" &amp; DATE(2025,12,31))</f>
        <v/>
      </c>
      <c r="J148">
        <f>COUNTIFS('RequestStats'!I:I, "A tiempo", 'RequestStats'!E:E,Tabla711121323[[#This Row],[Gestores]], 'RequestStats'!C:C, "&gt;=" &amp; DATE(2025,10,1), 'RequestStats'!C:C, "&lt;=" &amp; DATE(2025,12,31))</f>
        <v/>
      </c>
      <c r="K148">
        <f>COUNTIFS('RequestStats'!I:I, "Fuera de tiempo", 'RequestStats'!E:E,Tabla711121323[[#This Row],[Gestores]], 'RequestStats'!C:C, "&gt;=" &amp; DATE(2025,10,1), 'RequestStats'!C:C, "&lt;=" &amp; DATE(2025,12,31))</f>
        <v/>
      </c>
      <c r="L148" s="12">
        <f>AVERAGEIFS('RequestStats'!H:H, 'RequestStats'!C:C, "&gt;=" &amp; DATE(2025,10,1), 'RequestStats'!C:C, "&lt;=" &amp; DATE(2025,12,31), 'RequestStats'!E:E, Tabla711121323[[#This Row],[Gestores]])</f>
        <v/>
      </c>
    </row>
    <row r="149">
      <c r="C149" s="36" t="inlineStr">
        <is>
          <t>Total general</t>
        </is>
      </c>
      <c r="D149" s="37">
        <f>SUM(D147:D148)</f>
        <v/>
      </c>
      <c r="E149" s="37">
        <f>SUM(E147:E148)</f>
        <v/>
      </c>
      <c r="F149" s="37">
        <f>SUM(F147:F148)</f>
        <v/>
      </c>
      <c r="H149" t="inlineStr">
        <is>
          <t>Elvis G Valdez M</t>
        </is>
      </c>
      <c r="I149">
        <f>COUNTIFS('RequestStats'!E:E,Tabla711121323[[#This Row],[Gestores]], 'RequestStats'!C:C, "&gt;=" &amp; DATE(2025,10,1), 'RequestStats'!C:C, "&lt;=" &amp; DATE(2025,12,31))</f>
        <v/>
      </c>
      <c r="J149">
        <f>COUNTIFS('RequestStats'!I:I, "A tiempo", 'RequestStats'!E:E,Tabla711121323[[#This Row],[Gestores]], 'RequestStats'!C:C, "&gt;=" &amp; DATE(2025,10,1), 'RequestStats'!C:C, "&lt;=" &amp; DATE(2025,12,31))</f>
        <v/>
      </c>
      <c r="K149">
        <f>COUNTIFS('RequestStats'!I:I, "Fuera de tiempo", 'RequestStats'!E:E,Tabla711121323[[#This Row],[Gestores]], 'RequestStats'!C:C, "&gt;=" &amp; DATE(2025,10,1), 'RequestStats'!C:C, "&lt;=" &amp; DATE(2025,12,31))</f>
        <v/>
      </c>
      <c r="L149" s="12">
        <f>AVERAGEIFS('RequestStats'!H:H, 'RequestStats'!C:C, "&gt;=" &amp; DATE(2025,10,1), 'RequestStats'!C:C, "&lt;=" &amp; DATE(2025,12,31), 'RequestStats'!E:E, Tabla711121323[[#This Row],[Gestores]])</f>
        <v/>
      </c>
    </row>
    <row r="150">
      <c r="H150" t="inlineStr">
        <is>
          <t>Genaro Corporan B</t>
        </is>
      </c>
      <c r="I150">
        <f>COUNTIFS('RequestStats'!E:E,Tabla711121323[[#This Row],[Gestores]], 'RequestStats'!C:C, "&gt;=" &amp; DATE(2025,10,1), 'RequestStats'!C:C, "&lt;=" &amp; DATE(2025,12,31))</f>
        <v/>
      </c>
      <c r="J150">
        <f>COUNTIFS('RequestStats'!I:I, "A tiempo", 'RequestStats'!E:E,Tabla711121323[[#This Row],[Gestores]], 'RequestStats'!C:C, "&gt;=" &amp; DATE(2025,10,1), 'RequestStats'!C:C, "&lt;=" &amp; DATE(2025,12,31))</f>
        <v/>
      </c>
      <c r="K150">
        <f>COUNTIFS('RequestStats'!I:I, "Fuera de tiempo", 'RequestStats'!E:E,Tabla711121323[[#This Row],[Gestores]], 'RequestStats'!C:C, "&gt;=" &amp; DATE(2025,10,1), 'RequestStats'!C:C, "&lt;=" &amp; DATE(2025,12,31))</f>
        <v/>
      </c>
      <c r="L150" s="12">
        <f>AVERAGEIFS('RequestStats'!H:H, 'RequestStats'!C:C, "&gt;=" &amp; DATE(2025,10,1), 'RequestStats'!C:C, "&lt;=" &amp; DATE(2025,12,31), 'RequestStats'!E:E, Tabla711121323[[#This Row],[Gestores]])</f>
        <v/>
      </c>
    </row>
    <row r="151">
      <c r="H151" t="inlineStr">
        <is>
          <t>Francisco Sanchez V</t>
        </is>
      </c>
      <c r="I151">
        <f>COUNTIFS('RequestStats'!E:E,Tabla711121323[[#This Row],[Gestores]], 'RequestStats'!C:C, "&gt;=" &amp; DATE(2025,10,1), 'RequestStats'!C:C, "&lt;=" &amp; DATE(2025,12,31))</f>
        <v/>
      </c>
      <c r="J151">
        <f>COUNTIFS('RequestStats'!I:I, "A tiempo", 'RequestStats'!E:E,Tabla711121323[[#This Row],[Gestores]], 'RequestStats'!C:C, "&gt;=" &amp; DATE(2025,10,1), 'RequestStats'!C:C, "&lt;=" &amp; DATE(2025,12,31))</f>
        <v/>
      </c>
      <c r="K151">
        <f>COUNTIFS('RequestStats'!I:I, "Fuera de tiempo", 'RequestStats'!E:E,Tabla711121323[[#This Row],[Gestores]], 'RequestStats'!C:C, "&gt;=" &amp; DATE(2025,10,1), 'RequestStats'!C:C, "&lt;=" &amp; DATE(2025,12,31))</f>
        <v/>
      </c>
      <c r="L151" s="12">
        <f>AVERAGEIFS('RequestStats'!H:H, 'RequestStats'!C:C, "&gt;=" &amp; DATE(2025,10,1), 'RequestStats'!C:C, "&lt;=" &amp; DATE(2025,12,31), 'RequestStats'!E:E, Tabla711121323[[#This Row],[Gestores]])</f>
        <v/>
      </c>
    </row>
    <row r="152">
      <c r="H152" s="27" t="inlineStr">
        <is>
          <t>Jose M Polanco M</t>
        </is>
      </c>
      <c r="I152">
        <f>COUNTIFS('RequestStats'!E:E,Tabla711121323[[#This Row],[Gestores]], 'RequestStats'!C:C, "&gt;=" &amp; DATE(2025,10,1), 'RequestStats'!C:C, "&lt;=" &amp; DATE(2025,12,31))</f>
        <v/>
      </c>
      <c r="J152">
        <f>COUNTIFS('RequestStats'!I:I, "A tiempo", 'RequestStats'!E:E,Tabla711121323[[#This Row],[Gestores]], 'RequestStats'!C:C, "&gt;=" &amp; DATE(2025,10,1), 'RequestStats'!C:C, "&lt;=" &amp; DATE(2025,12,31))</f>
        <v/>
      </c>
      <c r="K152">
        <f>COUNTIFS('RequestStats'!I:I, "Fuera de tiempo", 'RequestStats'!E:E,Tabla711121323[[#This Row],[Gestores]], 'RequestStats'!C:C, "&gt;=" &amp; DATE(2025,10,1), 'RequestStats'!C:C, "&lt;=" &amp; DATE(2025,12,31))</f>
        <v/>
      </c>
      <c r="L152" s="12">
        <f>AVERAGEIFS('RequestStats'!H:H, 'RequestStats'!C:C, "&gt;=" &amp; DATE(2025,10,1), 'RequestStats'!C:C, "&lt;=" &amp; DATE(2025,12,31), 'RequestStats'!E:E, Tabla711121323[[#This Row],[Gestores]])</f>
        <v/>
      </c>
    </row>
    <row r="153">
      <c r="H153" t="inlineStr">
        <is>
          <t>Gestor Documental</t>
        </is>
      </c>
      <c r="I153">
        <f>COUNTIFS('RequestStats'!E:E,Tabla711121323[[#This Row],[Gestores]], 'RequestStats'!C:C, "&gt;=" &amp; DATE(2025,10,1), 'RequestStats'!C:C, "&lt;=" &amp; DATE(2025,12,31))</f>
        <v/>
      </c>
      <c r="J153">
        <f>COUNTIFS('RequestStats'!I:I, "A tiempo", 'RequestStats'!E:E,Tabla711121323[[#This Row],[Gestores]], 'RequestStats'!C:C, "&gt;=" &amp; DATE(2025,10,1), 'RequestStats'!C:C, "&lt;=" &amp; DATE(2025,12,31))</f>
        <v/>
      </c>
      <c r="K153">
        <f>COUNTIFS('RequestStats'!I:I, "Fuera de tiempo", 'RequestStats'!E:E,Tabla711121323[[#This Row],[Gestores]], 'RequestStats'!C:C, "&gt;=" &amp; DATE(2025,10,1), 'RequestStats'!C:C, "&lt;=" &amp; DATE(2025,12,31))</f>
        <v/>
      </c>
      <c r="L153" s="12">
        <f>AVERAGEIFS('RequestStats'!H:H, 'RequestStats'!C:C, "&gt;=" &amp; DATE(2025,10,1), 'RequestStats'!C:C, "&lt;=" &amp; DATE(2025,12,31), 'RequestStats'!E:E, Tabla711121323[[#This Row],[Gestores]])</f>
        <v/>
      </c>
    </row>
  </sheetData>
  <mergeCells count="18">
    <mergeCell ref="C1:E1"/>
    <mergeCell ref="F87:G87"/>
    <mergeCell ref="H138:L138"/>
    <mergeCell ref="C113:E113"/>
    <mergeCell ref="C85:G85"/>
    <mergeCell ref="C140:E140"/>
    <mergeCell ref="F63:G63"/>
    <mergeCell ref="C138:G138"/>
    <mergeCell ref="F113:G113"/>
    <mergeCell ref="C87:E87"/>
    <mergeCell ref="H85:L85"/>
    <mergeCell ref="C61:G61"/>
    <mergeCell ref="C111:G111"/>
    <mergeCell ref="F140:G140"/>
    <mergeCell ref="F1:G1"/>
    <mergeCell ref="H61:L61"/>
    <mergeCell ref="C63:E63"/>
    <mergeCell ref="H111:L111"/>
  </mergeCells>
  <pageMargins left="0.7" right="0.7" top="0.75" bottom="0.75" header="0.3" footer="0.3"/>
  <drawing xmlns:r="http://schemas.openxmlformats.org/officeDocument/2006/relationships" r:id="rId1"/>
  <tableParts count="10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25"/>
  <sheetViews>
    <sheetView topLeftCell="A604" workbookViewId="0">
      <selection activeCell="D625" sqref="D625"/>
    </sheetView>
  </sheetViews>
  <sheetFormatPr baseColWidth="8" defaultRowHeight="15"/>
  <cols>
    <col width="11.140625" customWidth="1" min="1" max="1"/>
    <col width="12.5703125" customWidth="1" min="2" max="2"/>
    <col width="17" bestFit="1" customWidth="1" style="7" min="3" max="3"/>
    <col width="17.85546875" customWidth="1" style="7" min="4" max="4"/>
    <col width="23" customWidth="1" min="5" max="5"/>
    <col width="20" customWidth="1" min="6" max="6"/>
    <col width="18.7109375" customWidth="1" style="2" min="7" max="7"/>
    <col width="12.42578125" customWidth="1" style="12" min="8" max="8"/>
    <col width="14.85546875" customWidth="1" min="9" max="9"/>
    <col width="10.42578125" customWidth="1" min="10" max="10"/>
    <col width="9.28515625" bestFit="1" customWidth="1" min="11" max="11"/>
  </cols>
  <sheetData>
    <row r="1" ht="29.25" customHeight="1">
      <c r="A1" s="47" t="inlineStr">
        <is>
          <t>ID</t>
        </is>
      </c>
      <c r="B1" s="47" t="inlineStr">
        <is>
          <t>Solicitud</t>
        </is>
      </c>
      <c r="C1" s="48" t="inlineStr">
        <is>
          <t>Creación</t>
        </is>
      </c>
      <c r="D1" s="48" t="inlineStr">
        <is>
          <t>Respuesta</t>
        </is>
      </c>
      <c r="E1" s="47" t="inlineStr">
        <is>
          <t>Gestor</t>
        </is>
      </c>
      <c r="F1" s="49" t="inlineStr">
        <is>
          <t>Prudencia</t>
        </is>
      </c>
      <c r="G1" s="50" t="inlineStr">
        <is>
          <t>ValidaciónCreación</t>
        </is>
      </c>
      <c r="H1" s="51" t="inlineStr">
        <is>
          <t>TiempoLaboralEfectivo</t>
        </is>
      </c>
      <c r="I1" s="52" t="inlineStr">
        <is>
          <t>Calificación</t>
        </is>
      </c>
      <c r="J1" s="47" t="inlineStr">
        <is>
          <t>Trimestre</t>
        </is>
      </c>
    </row>
    <row r="2">
      <c r="C2" s="28" t="n"/>
      <c r="D2" s="28" t="n"/>
      <c r="G2" s="1" t="n"/>
      <c r="H2" s="41" t="n"/>
      <c r="J2" s="47" t="n"/>
    </row>
    <row r="3" ht="17.25" customHeight="1">
      <c r="C3" s="28" t="n"/>
      <c r="D3" s="28" t="n"/>
      <c r="G3" s="1" t="n"/>
      <c r="H3" s="41" t="n"/>
      <c r="J3" s="47" t="n"/>
      <c r="L3" s="41" t="n"/>
    </row>
    <row r="4">
      <c r="C4" s="29" t="n"/>
      <c r="D4" s="29" t="n"/>
      <c r="G4" s="1" t="n"/>
      <c r="H4" s="12" t="n"/>
    </row>
    <row r="5">
      <c r="A5" s="8" t="n"/>
      <c r="B5" s="8" t="n"/>
      <c r="C5" s="28" t="n"/>
      <c r="D5" s="28" t="n"/>
      <c r="E5" s="8" t="n"/>
      <c r="F5" s="8" t="n"/>
      <c r="G5" s="1" t="n"/>
      <c r="H5" s="12" t="n"/>
    </row>
    <row r="6">
      <c r="A6" s="8" t="n"/>
      <c r="B6" s="8" t="n"/>
      <c r="C6" s="28" t="n"/>
      <c r="D6" s="28" t="n"/>
      <c r="E6" s="8" t="n"/>
      <c r="F6" s="8" t="n"/>
      <c r="G6" s="1" t="n"/>
      <c r="H6" s="12" t="n"/>
    </row>
    <row r="7">
      <c r="A7" s="8" t="n"/>
      <c r="B7" s="8" t="n"/>
      <c r="C7" s="28" t="n"/>
      <c r="D7" s="28" t="n"/>
      <c r="E7" s="8" t="n"/>
      <c r="F7" s="8" t="n"/>
      <c r="G7" s="1" t="n"/>
      <c r="H7" s="12" t="n"/>
    </row>
    <row r="8">
      <c r="A8" s="8" t="n"/>
      <c r="B8" s="8" t="n"/>
      <c r="C8" s="28" t="n"/>
      <c r="D8" s="28" t="n"/>
      <c r="E8" s="8" t="n"/>
      <c r="F8" s="8" t="n"/>
      <c r="G8" s="1" t="n"/>
      <c r="H8" s="12" t="n"/>
    </row>
    <row r="9">
      <c r="A9" s="8" t="n"/>
      <c r="B9" s="8" t="n"/>
      <c r="C9" s="28" t="n"/>
      <c r="D9" s="28" t="n"/>
      <c r="E9" s="8" t="n"/>
      <c r="F9" s="8" t="n"/>
      <c r="G9" s="1" t="n"/>
      <c r="H9" s="12" t="n"/>
    </row>
    <row r="10" customFormat="1" s="8">
      <c r="A10" s="8" t="n"/>
      <c r="B10" s="8" t="n"/>
      <c r="C10" s="28" t="n"/>
      <c r="D10" s="28" t="n"/>
      <c r="E10" s="8" t="n"/>
      <c r="F10" s="8" t="n"/>
      <c r="G10" s="1" t="n"/>
      <c r="H10" s="13" t="n"/>
      <c r="I10" s="8" t="n"/>
      <c r="J10" s="8" t="n"/>
    </row>
    <row r="11" customFormat="1" s="8">
      <c r="A11" s="8" t="n"/>
      <c r="B11" s="8" t="n"/>
      <c r="C11" s="28" t="n"/>
      <c r="D11" s="28" t="n"/>
      <c r="E11" s="8" t="n"/>
      <c r="F11" s="8" t="n"/>
      <c r="G11" s="1" t="n"/>
      <c r="H11" s="13" t="n"/>
      <c r="I11" s="8" t="n"/>
      <c r="J11" s="8" t="n"/>
    </row>
    <row r="12" customFormat="1" s="8">
      <c r="A12" s="8" t="n"/>
      <c r="B12" s="8" t="n"/>
      <c r="C12" s="28" t="n"/>
      <c r="D12" s="28" t="n"/>
      <c r="E12" s="8" t="n"/>
      <c r="F12" s="8" t="n"/>
      <c r="G12" s="1" t="n"/>
      <c r="H12" s="13" t="n"/>
      <c r="I12" s="8" t="n"/>
      <c r="J12" s="8" t="n"/>
    </row>
    <row r="13" customFormat="1" s="8">
      <c r="A13" s="8" t="n"/>
      <c r="B13" s="8" t="n"/>
      <c r="C13" s="28" t="n"/>
      <c r="D13" s="28" t="n"/>
      <c r="E13" s="8" t="n"/>
      <c r="F13" s="8" t="n"/>
      <c r="G13" s="1" t="n"/>
      <c r="H13" s="13" t="n"/>
      <c r="I13" s="8" t="n"/>
      <c r="J13" s="8" t="n"/>
    </row>
    <row r="14" customFormat="1" s="8">
      <c r="A14" s="8" t="n"/>
      <c r="B14" s="8" t="n"/>
      <c r="C14" s="28" t="n"/>
      <c r="D14" s="28" t="n"/>
      <c r="E14" s="8" t="n"/>
      <c r="F14" s="8" t="n"/>
      <c r="G14" s="1" t="n"/>
      <c r="H14" s="13" t="n"/>
      <c r="I14" s="8" t="n"/>
      <c r="J14" s="8" t="n"/>
    </row>
    <row r="15" customFormat="1" s="8">
      <c r="A15" s="8" t="n"/>
      <c r="B15" s="8" t="n"/>
      <c r="C15" s="28" t="n"/>
      <c r="D15" s="28" t="n"/>
      <c r="E15" s="8" t="n"/>
      <c r="F15" s="8" t="n"/>
      <c r="G15" s="1" t="n"/>
      <c r="H15" s="13" t="n"/>
      <c r="I15" s="8" t="n"/>
      <c r="J15" s="8" t="n"/>
    </row>
    <row r="16" customFormat="1" s="8">
      <c r="A16" s="8" t="n"/>
      <c r="B16" s="8" t="n"/>
      <c r="C16" s="28" t="n"/>
      <c r="D16" s="28" t="n"/>
      <c r="E16" s="8" t="n"/>
      <c r="F16" s="8" t="n"/>
      <c r="G16" s="1" t="n"/>
      <c r="H16" s="13" t="n"/>
      <c r="I16" s="8" t="n"/>
      <c r="J16" s="8" t="n"/>
    </row>
    <row r="17" customFormat="1" s="8">
      <c r="A17" s="8" t="n"/>
      <c r="B17" s="8" t="n"/>
      <c r="C17" s="28" t="n"/>
      <c r="D17" s="28" t="n"/>
      <c r="E17" s="8" t="n"/>
      <c r="F17" s="8" t="n"/>
      <c r="G17" s="1" t="n"/>
      <c r="H17" s="13" t="n"/>
      <c r="I17" s="8" t="n"/>
      <c r="J17" s="8" t="n"/>
    </row>
    <row r="18" customFormat="1" s="8">
      <c r="A18" s="8" t="n"/>
      <c r="B18" s="8" t="n"/>
      <c r="C18" s="28" t="n"/>
      <c r="D18" s="28" t="n"/>
      <c r="E18" s="8" t="n"/>
      <c r="F18" s="8" t="n"/>
      <c r="G18" s="1" t="n"/>
      <c r="H18" s="13" t="n"/>
      <c r="I18" s="8" t="n"/>
      <c r="J18" s="8" t="n"/>
    </row>
    <row r="19" customFormat="1" s="8">
      <c r="A19" s="8" t="n"/>
      <c r="B19" s="8" t="n"/>
      <c r="C19" s="28" t="n"/>
      <c r="D19" s="28" t="n"/>
      <c r="E19" s="8" t="n"/>
      <c r="F19" s="8" t="n"/>
      <c r="G19" s="1" t="n"/>
      <c r="H19" s="13" t="n"/>
      <c r="I19" s="8" t="n"/>
      <c r="J19" s="8" t="n"/>
    </row>
    <row r="20" customFormat="1" s="8">
      <c r="A20" s="8" t="n"/>
      <c r="B20" s="8" t="n"/>
      <c r="C20" s="28" t="n"/>
      <c r="D20" s="28" t="n"/>
      <c r="E20" s="8" t="n"/>
      <c r="F20" s="8" t="n"/>
      <c r="G20" s="1" t="n"/>
      <c r="H20" s="13" t="n"/>
      <c r="I20" s="8" t="n"/>
      <c r="J20" s="8" t="n"/>
    </row>
    <row r="21" customFormat="1" s="8">
      <c r="A21" s="8" t="n"/>
      <c r="B21" s="8" t="n"/>
      <c r="C21" s="28" t="n"/>
      <c r="D21" s="28" t="n"/>
      <c r="E21" s="8" t="n"/>
      <c r="F21" s="8" t="n"/>
      <c r="G21" s="1" t="n"/>
      <c r="H21" s="13" t="n"/>
      <c r="I21" s="8" t="n"/>
      <c r="J21" s="8" t="n"/>
    </row>
    <row r="22" customFormat="1" s="8">
      <c r="A22" s="8" t="n"/>
      <c r="B22" s="8" t="n"/>
      <c r="C22" s="28" t="n"/>
      <c r="D22" s="28" t="n"/>
      <c r="E22" s="8" t="n"/>
      <c r="F22" s="8" t="n"/>
      <c r="G22" s="9" t="n"/>
      <c r="H22" s="13" t="n"/>
      <c r="I22" s="8" t="n"/>
      <c r="J22" s="8" t="n"/>
    </row>
    <row r="23" customFormat="1" s="8">
      <c r="A23" s="8" t="n"/>
      <c r="B23" s="8" t="n"/>
      <c r="C23" s="28" t="n"/>
      <c r="D23" s="28" t="n"/>
      <c r="E23" s="8" t="n"/>
      <c r="F23" s="8" t="n"/>
      <c r="G23" s="9" t="n"/>
      <c r="H23" s="13" t="n"/>
      <c r="I23" s="8" t="n"/>
      <c r="J23" s="8" t="n"/>
    </row>
    <row r="24" customFormat="1" s="8">
      <c r="A24" s="8" t="n"/>
      <c r="B24" s="8" t="n"/>
      <c r="C24" s="28" t="n"/>
      <c r="D24" s="28" t="n"/>
      <c r="E24" s="8" t="n"/>
      <c r="F24" s="8" t="n"/>
      <c r="G24" s="9" t="n"/>
      <c r="H24" s="13" t="n"/>
      <c r="I24" s="8" t="n"/>
      <c r="J24" s="8" t="n"/>
    </row>
    <row r="25" customFormat="1" s="8">
      <c r="A25" s="10" t="n"/>
      <c r="B25" s="10" t="n"/>
      <c r="C25" s="30" t="n"/>
      <c r="D25" s="30" t="n"/>
      <c r="E25" s="10" t="n"/>
      <c r="F25" s="10" t="n"/>
      <c r="G25" s="11" t="n"/>
      <c r="H25" s="14" t="n"/>
      <c r="I25" s="8" t="n"/>
      <c r="J25" s="8" t="n"/>
    </row>
    <row r="26" customFormat="1" s="8">
      <c r="A26" s="8" t="n"/>
      <c r="B26" s="8" t="n"/>
      <c r="C26" s="28" t="n"/>
      <c r="D26" s="28" t="n"/>
      <c r="E26" s="8" t="n"/>
      <c r="F26" s="8" t="n"/>
      <c r="G26" s="9" t="n"/>
      <c r="H26" s="13" t="n"/>
      <c r="I26" s="8" t="n"/>
      <c r="J26" s="8" t="n"/>
    </row>
    <row r="27" customFormat="1" s="8">
      <c r="A27" s="8" t="n"/>
      <c r="B27" s="8" t="n"/>
      <c r="C27" s="28" t="n"/>
      <c r="D27" s="28" t="n"/>
      <c r="E27" s="8" t="n"/>
      <c r="F27" s="8" t="n"/>
      <c r="G27" s="9" t="n"/>
      <c r="H27" s="13" t="n"/>
      <c r="I27" s="8" t="n"/>
      <c r="J27" s="8" t="n"/>
    </row>
    <row r="28" customFormat="1" s="8">
      <c r="A28" s="8" t="n"/>
      <c r="B28" s="8" t="n"/>
      <c r="C28" s="28" t="n"/>
      <c r="D28" s="28" t="n"/>
      <c r="E28" s="8" t="n"/>
      <c r="F28" s="8" t="n"/>
      <c r="G28" s="9" t="n"/>
      <c r="H28" s="13" t="n"/>
      <c r="I28" s="8" t="n"/>
      <c r="J28" s="8" t="n"/>
    </row>
    <row r="29" customFormat="1" s="8">
      <c r="A29" s="8" t="n"/>
      <c r="B29" s="8" t="n"/>
      <c r="C29" s="28" t="n"/>
      <c r="D29" s="28" t="n"/>
      <c r="E29" s="8" t="n"/>
      <c r="F29" s="8" t="n"/>
      <c r="G29" s="9" t="n"/>
      <c r="H29" s="13" t="n"/>
      <c r="I29" s="8" t="n"/>
      <c r="J29" s="8" t="n"/>
    </row>
    <row r="30" customFormat="1" s="8">
      <c r="A30" s="8" t="n"/>
      <c r="B30" s="8" t="n"/>
      <c r="C30" s="28" t="n"/>
      <c r="D30" s="28" t="n"/>
      <c r="E30" s="8" t="n"/>
      <c r="F30" s="8" t="n"/>
      <c r="G30" s="9" t="n"/>
      <c r="H30" s="13" t="n"/>
      <c r="I30" s="8" t="n"/>
      <c r="J30" s="8" t="n"/>
    </row>
    <row r="31" customFormat="1" s="8">
      <c r="A31" s="8" t="n"/>
      <c r="B31" s="8" t="n"/>
      <c r="C31" s="28" t="n"/>
      <c r="D31" s="28" t="n"/>
      <c r="E31" s="8" t="n"/>
      <c r="F31" s="8" t="n"/>
      <c r="G31" s="9" t="n"/>
      <c r="H31" s="13" t="n"/>
      <c r="I31" s="8" t="n"/>
      <c r="J31" s="8" t="n"/>
    </row>
    <row r="32" customFormat="1" s="8">
      <c r="A32" s="8" t="n"/>
      <c r="B32" s="8" t="n"/>
      <c r="C32" s="28" t="n"/>
      <c r="D32" s="28" t="n"/>
      <c r="E32" s="8" t="n"/>
      <c r="F32" s="8" t="n"/>
      <c r="G32" s="9" t="n"/>
      <c r="H32" s="13" t="n"/>
      <c r="I32" s="8" t="n"/>
      <c r="J32" s="8" t="n"/>
    </row>
    <row r="33" customFormat="1" s="8">
      <c r="A33" s="8" t="n"/>
      <c r="B33" s="8" t="n"/>
      <c r="C33" s="28" t="n"/>
      <c r="D33" s="28" t="n"/>
      <c r="E33" s="8" t="n"/>
      <c r="F33" s="8" t="n"/>
      <c r="G33" s="9" t="n"/>
      <c r="H33" s="13" t="n"/>
      <c r="I33" s="8" t="n"/>
      <c r="J33" s="8" t="n"/>
    </row>
    <row r="34" customFormat="1" s="8">
      <c r="A34" s="8" t="n"/>
      <c r="B34" s="8" t="n"/>
      <c r="C34" s="28" t="n"/>
      <c r="D34" s="28" t="n"/>
      <c r="E34" s="8" t="n"/>
      <c r="F34" s="8" t="n"/>
      <c r="G34" s="9" t="n"/>
      <c r="H34" s="13" t="n"/>
      <c r="I34" s="8" t="n"/>
      <c r="J34" s="8" t="n"/>
    </row>
    <row r="35" customFormat="1" s="8">
      <c r="A35" s="8" t="n"/>
      <c r="B35" s="8" t="n"/>
      <c r="C35" s="28" t="n"/>
      <c r="D35" s="28" t="n"/>
      <c r="E35" s="8" t="n"/>
      <c r="F35" s="8" t="n"/>
      <c r="G35" s="9" t="n"/>
      <c r="H35" s="13" t="n"/>
      <c r="I35" s="8" t="n"/>
      <c r="J35" s="8" t="n"/>
    </row>
    <row r="36" customFormat="1" s="8">
      <c r="A36" s="8" t="n"/>
      <c r="B36" s="8" t="n"/>
      <c r="C36" s="28" t="n"/>
      <c r="D36" s="28" t="n"/>
      <c r="E36" s="8" t="n"/>
      <c r="F36" s="8" t="n"/>
      <c r="G36" s="9" t="n"/>
      <c r="H36" s="13" t="n"/>
      <c r="I36" s="8" t="n"/>
      <c r="J36" s="8" t="n"/>
    </row>
    <row r="37" customFormat="1" s="8">
      <c r="A37" s="8" t="n"/>
      <c r="B37" s="8" t="n"/>
      <c r="C37" s="28" t="n"/>
      <c r="D37" s="28" t="n"/>
      <c r="E37" s="8" t="n"/>
      <c r="F37" s="8" t="n"/>
      <c r="G37" s="9" t="n"/>
      <c r="H37" s="13" t="n"/>
      <c r="I37" s="8" t="n"/>
      <c r="J37" s="8" t="n"/>
    </row>
    <row r="38" customFormat="1" s="8">
      <c r="A38" s="8" t="n"/>
      <c r="B38" s="8" t="n"/>
      <c r="C38" s="28" t="n"/>
      <c r="D38" s="28" t="n"/>
      <c r="E38" s="8" t="n"/>
      <c r="F38" s="8" t="n"/>
      <c r="G38" s="9" t="n"/>
      <c r="H38" s="13" t="n"/>
      <c r="I38" s="8" t="n"/>
      <c r="J38" s="8" t="n"/>
    </row>
    <row r="39" customFormat="1" s="8">
      <c r="A39" s="8" t="n"/>
      <c r="B39" s="8" t="n"/>
      <c r="C39" s="28" t="n"/>
      <c r="D39" s="28" t="n"/>
      <c r="E39" s="8" t="n"/>
      <c r="F39" s="8" t="n"/>
      <c r="G39" s="9" t="n"/>
      <c r="H39" s="13" t="n"/>
      <c r="I39" s="8" t="n"/>
      <c r="J39" s="8" t="n"/>
    </row>
    <row r="40" customFormat="1" s="8">
      <c r="A40" s="8" t="n"/>
      <c r="B40" s="8" t="n"/>
      <c r="C40" s="28" t="n"/>
      <c r="D40" s="28" t="n"/>
      <c r="E40" s="8" t="n"/>
      <c r="F40" s="8" t="n"/>
      <c r="G40" s="9" t="n"/>
      <c r="H40" s="13" t="n"/>
      <c r="I40" s="8" t="n"/>
      <c r="J40" s="8" t="n"/>
    </row>
    <row r="41" customFormat="1" s="8">
      <c r="A41" s="8" t="n"/>
      <c r="B41" s="8" t="n"/>
      <c r="C41" s="28" t="n"/>
      <c r="D41" s="28" t="n"/>
      <c r="E41" s="8" t="n"/>
      <c r="F41" s="8" t="n"/>
      <c r="G41" s="9" t="n"/>
      <c r="H41" s="13" t="n"/>
      <c r="I41" s="8" t="n"/>
      <c r="J41" s="8" t="n"/>
    </row>
    <row r="42" customFormat="1" s="8">
      <c r="A42" s="8" t="n"/>
      <c r="B42" s="8" t="n"/>
      <c r="C42" s="28" t="n"/>
      <c r="D42" s="28" t="n"/>
      <c r="E42" s="8" t="n"/>
      <c r="F42" s="8" t="n"/>
      <c r="G42" s="9" t="n"/>
      <c r="H42" s="13" t="n"/>
      <c r="I42" s="8" t="n"/>
      <c r="J42" s="8" t="n"/>
    </row>
    <row r="43" customFormat="1" s="8">
      <c r="A43" s="8" t="n"/>
      <c r="B43" s="8" t="n"/>
      <c r="C43" s="28" t="n"/>
      <c r="D43" s="28" t="n"/>
      <c r="E43" s="8" t="n"/>
      <c r="F43" s="8" t="n"/>
      <c r="G43" s="9" t="n"/>
      <c r="H43" s="13" t="n"/>
      <c r="I43" s="8" t="n"/>
      <c r="J43" s="8" t="n"/>
    </row>
    <row r="44" customFormat="1" s="8">
      <c r="A44" s="8" t="n"/>
      <c r="B44" s="8" t="n"/>
      <c r="C44" s="28" t="n"/>
      <c r="D44" s="28" t="n"/>
      <c r="E44" s="8" t="n"/>
      <c r="F44" s="8" t="n"/>
      <c r="G44" s="9" t="n"/>
      <c r="H44" s="13" t="n"/>
      <c r="I44" s="8" t="n"/>
      <c r="J44" s="8" t="n"/>
    </row>
    <row r="45" customFormat="1" s="8">
      <c r="A45" s="8" t="n"/>
      <c r="B45" s="8" t="n"/>
      <c r="C45" s="28" t="n"/>
      <c r="D45" s="28" t="n"/>
      <c r="E45" s="8" t="n"/>
      <c r="F45" s="8" t="n"/>
      <c r="G45" s="9" t="n"/>
      <c r="H45" s="13" t="n"/>
      <c r="I45" s="8" t="n"/>
      <c r="J45" s="8" t="n"/>
    </row>
    <row r="46" customFormat="1" s="8">
      <c r="A46" s="8" t="n"/>
      <c r="B46" s="8" t="n"/>
      <c r="C46" s="28" t="n"/>
      <c r="D46" s="28" t="n"/>
      <c r="E46" s="8" t="n"/>
      <c r="F46" s="8" t="n"/>
      <c r="G46" s="9" t="n"/>
      <c r="H46" s="13" t="n"/>
      <c r="I46" s="8" t="n"/>
      <c r="J46" s="8" t="n"/>
    </row>
    <row r="47" customFormat="1" s="8">
      <c r="A47" s="8" t="n"/>
      <c r="B47" s="8" t="n"/>
      <c r="C47" s="28" t="n"/>
      <c r="D47" s="28" t="n"/>
      <c r="E47" s="8" t="n"/>
      <c r="F47" s="8" t="n"/>
      <c r="G47" s="9" t="n"/>
      <c r="H47" s="13" t="n"/>
      <c r="I47" s="8" t="n"/>
      <c r="J47" s="8" t="n"/>
    </row>
    <row r="48" customFormat="1" s="8">
      <c r="A48" s="8" t="n"/>
      <c r="B48" s="8" t="n"/>
      <c r="C48" s="28" t="n"/>
      <c r="D48" s="28" t="n"/>
      <c r="E48" s="8" t="n"/>
      <c r="F48" s="8" t="n"/>
      <c r="G48" s="9" t="n"/>
      <c r="H48" s="13" t="n"/>
      <c r="I48" s="8" t="n"/>
      <c r="J48" s="8" t="n"/>
    </row>
    <row r="49" customFormat="1" s="8">
      <c r="A49" s="10" t="n"/>
      <c r="B49" s="10" t="n"/>
      <c r="C49" s="30" t="n"/>
      <c r="D49" s="30" t="n"/>
      <c r="E49" s="10" t="n"/>
      <c r="F49" s="10" t="n"/>
      <c r="G49" s="11" t="n"/>
      <c r="H49" s="14" t="n"/>
      <c r="I49" s="8" t="n"/>
      <c r="J49" s="8" t="n"/>
    </row>
    <row r="50" customFormat="1" s="8">
      <c r="A50" s="8" t="n"/>
      <c r="B50" s="8" t="n"/>
      <c r="C50" s="28" t="n"/>
      <c r="D50" s="28" t="n"/>
      <c r="E50" s="8" t="n"/>
      <c r="F50" s="8" t="n"/>
      <c r="G50" s="9" t="n"/>
      <c r="H50" s="13" t="n"/>
      <c r="I50" s="8" t="n"/>
      <c r="J50" s="8" t="n"/>
    </row>
    <row r="51" customFormat="1" s="8">
      <c r="A51" s="8" t="n"/>
      <c r="B51" s="8" t="n"/>
      <c r="C51" s="28" t="n"/>
      <c r="D51" s="28" t="n"/>
      <c r="E51" s="8" t="n"/>
      <c r="F51" s="8" t="n"/>
      <c r="G51" s="9" t="n"/>
      <c r="H51" s="13" t="n"/>
      <c r="I51" s="8" t="n"/>
      <c r="J51" s="8" t="n"/>
    </row>
    <row r="52" customFormat="1" s="8">
      <c r="A52" s="8" t="n"/>
      <c r="B52" s="8" t="n"/>
      <c r="C52" s="28" t="n"/>
      <c r="D52" s="28" t="n"/>
      <c r="E52" s="8" t="n"/>
      <c r="F52" s="8" t="n"/>
      <c r="G52" s="9" t="n"/>
      <c r="H52" s="13" t="n"/>
      <c r="I52" s="8" t="n"/>
      <c r="J52" s="8" t="n"/>
    </row>
    <row r="53" customFormat="1" s="8">
      <c r="A53" s="8" t="n"/>
      <c r="B53" s="8" t="n"/>
      <c r="C53" s="28" t="n"/>
      <c r="D53" s="28" t="n"/>
      <c r="E53" s="8" t="n"/>
      <c r="F53" s="8" t="n"/>
      <c r="G53" s="9" t="n"/>
      <c r="H53" s="13" t="n"/>
      <c r="I53" s="8" t="n"/>
      <c r="J53" s="8" t="n"/>
    </row>
    <row r="54" customFormat="1" s="8">
      <c r="A54" s="8" t="n"/>
      <c r="B54" s="8" t="n"/>
      <c r="C54" s="28" t="n"/>
      <c r="D54" s="28" t="n"/>
      <c r="E54" s="8" t="n"/>
      <c r="F54" s="8" t="n"/>
      <c r="G54" s="9" t="n"/>
      <c r="H54" s="13" t="n"/>
      <c r="I54" s="8" t="n"/>
      <c r="J54" s="8" t="n"/>
    </row>
    <row r="55" customFormat="1" s="8">
      <c r="A55" s="8" t="n"/>
      <c r="B55" s="8" t="n"/>
      <c r="C55" s="28" t="n"/>
      <c r="D55" s="28" t="n"/>
      <c r="E55" s="8" t="n"/>
      <c r="F55" s="8" t="n"/>
      <c r="G55" s="9" t="n"/>
      <c r="H55" s="13" t="n"/>
      <c r="I55" s="8" t="n"/>
      <c r="J55" s="8" t="n"/>
    </row>
    <row r="56" customFormat="1" s="8">
      <c r="A56" s="8" t="n"/>
      <c r="B56" s="8" t="n"/>
      <c r="C56" s="28" t="n"/>
      <c r="D56" s="28" t="n"/>
      <c r="E56" s="8" t="n"/>
      <c r="F56" s="8" t="n"/>
      <c r="G56" s="9" t="n"/>
      <c r="H56" s="13" t="n"/>
      <c r="I56" s="8" t="n"/>
      <c r="J56" s="8" t="n"/>
    </row>
    <row r="57" customFormat="1" s="8">
      <c r="A57" s="8" t="n"/>
      <c r="B57" s="8" t="n"/>
      <c r="C57" s="28" t="n"/>
      <c r="D57" s="28" t="n"/>
      <c r="E57" s="8" t="n"/>
      <c r="F57" s="8" t="n"/>
      <c r="G57" s="9" t="n"/>
      <c r="H57" s="13" t="n"/>
      <c r="I57" s="8" t="n"/>
      <c r="J57" s="8" t="n"/>
    </row>
    <row r="58" customFormat="1" s="8">
      <c r="A58" s="8" t="n"/>
      <c r="B58" s="8" t="n"/>
      <c r="C58" s="28" t="n"/>
      <c r="D58" s="28" t="n"/>
      <c r="E58" s="8" t="n"/>
      <c r="F58" s="8" t="n"/>
      <c r="G58" s="9" t="n"/>
      <c r="H58" s="13" t="n"/>
      <c r="I58" s="8" t="n"/>
      <c r="J58" s="8" t="n"/>
    </row>
    <row r="59" customFormat="1" s="8">
      <c r="A59" s="8" t="n"/>
      <c r="B59" s="8" t="n"/>
      <c r="C59" s="28" t="n"/>
      <c r="D59" s="28" t="n"/>
      <c r="E59" s="8" t="n"/>
      <c r="F59" s="8" t="n"/>
      <c r="G59" s="9" t="n"/>
      <c r="H59" s="13" t="n"/>
      <c r="I59" s="8" t="n"/>
      <c r="J59" s="8" t="n"/>
    </row>
    <row r="60" customFormat="1" s="8">
      <c r="A60" s="8" t="n"/>
      <c r="B60" s="8" t="n"/>
      <c r="C60" s="28" t="n"/>
      <c r="D60" s="28" t="n"/>
      <c r="E60" s="8" t="n"/>
      <c r="F60" s="8" t="n"/>
      <c r="G60" s="9" t="n"/>
      <c r="H60" s="13" t="n"/>
      <c r="I60" s="8" t="n"/>
      <c r="J60" s="8" t="n"/>
    </row>
    <row r="61" customFormat="1" s="8">
      <c r="A61" s="8" t="n"/>
      <c r="B61" s="8" t="n"/>
      <c r="C61" s="28" t="n"/>
      <c r="D61" s="28" t="n"/>
      <c r="E61" s="8" t="n"/>
      <c r="F61" s="8" t="n"/>
      <c r="G61" s="9" t="n"/>
      <c r="H61" s="13" t="n"/>
      <c r="I61" s="8" t="n"/>
      <c r="J61" s="8" t="n"/>
    </row>
    <row r="62" customFormat="1" s="8">
      <c r="A62" s="8" t="n"/>
      <c r="B62" s="8" t="n"/>
      <c r="C62" s="28" t="n"/>
      <c r="D62" s="28" t="n"/>
      <c r="E62" s="8" t="n"/>
      <c r="F62" s="8" t="n"/>
      <c r="G62" s="9" t="n"/>
      <c r="H62" s="13" t="n"/>
      <c r="I62" s="8" t="n"/>
      <c r="J62" s="8" t="n"/>
    </row>
    <row r="63" customFormat="1" s="8">
      <c r="A63" s="8" t="n"/>
      <c r="B63" s="8" t="n"/>
      <c r="C63" s="28" t="n"/>
      <c r="D63" s="28" t="n"/>
      <c r="E63" s="8" t="n"/>
      <c r="F63" s="8" t="n"/>
      <c r="G63" s="9" t="n"/>
      <c r="H63" s="13" t="n"/>
      <c r="I63" s="8" t="n"/>
      <c r="J63" s="8" t="n"/>
    </row>
    <row r="64" customFormat="1" s="8">
      <c r="A64" s="8" t="n"/>
      <c r="B64" s="8" t="n"/>
      <c r="C64" s="28" t="n"/>
      <c r="D64" s="28" t="n"/>
      <c r="E64" s="8" t="n"/>
      <c r="F64" s="8" t="n"/>
      <c r="G64" s="9" t="n"/>
      <c r="H64" s="13" t="n"/>
      <c r="I64" s="8" t="n"/>
      <c r="J64" s="8" t="n"/>
    </row>
    <row r="65" customFormat="1" s="8">
      <c r="A65" s="8" t="n"/>
      <c r="B65" s="8" t="n"/>
      <c r="C65" s="28" t="n"/>
      <c r="D65" s="28" t="n"/>
      <c r="E65" s="8" t="n"/>
      <c r="F65" s="8" t="n"/>
      <c r="G65" s="9" t="n"/>
      <c r="H65" s="13" t="n"/>
      <c r="I65" s="8" t="n"/>
      <c r="J65" s="8" t="n"/>
    </row>
    <row r="66" customFormat="1" s="8">
      <c r="A66" s="8" t="n"/>
      <c r="B66" s="8" t="n"/>
      <c r="C66" s="28" t="n"/>
      <c r="D66" s="28" t="n"/>
      <c r="E66" s="8" t="n"/>
      <c r="F66" s="8" t="n"/>
      <c r="G66" s="9" t="n"/>
      <c r="H66" s="13" t="n"/>
      <c r="I66" s="8" t="n"/>
      <c r="J66" s="8" t="n"/>
    </row>
    <row r="67" customFormat="1" s="8">
      <c r="A67" s="8" t="n"/>
      <c r="B67" s="8" t="n"/>
      <c r="C67" s="28" t="n"/>
      <c r="D67" s="28" t="n"/>
      <c r="E67" s="8" t="n"/>
      <c r="F67" s="8" t="n"/>
      <c r="G67" s="9" t="n"/>
      <c r="H67" s="13" t="n"/>
      <c r="I67" s="8" t="n"/>
      <c r="J67" s="8" t="n"/>
    </row>
    <row r="68" customFormat="1" s="8">
      <c r="A68" s="8" t="n"/>
      <c r="B68" s="8" t="n"/>
      <c r="C68" s="28" t="n"/>
      <c r="D68" s="28" t="n"/>
      <c r="E68" s="8" t="n"/>
      <c r="F68" s="8" t="n"/>
      <c r="G68" s="9" t="n"/>
      <c r="H68" s="13" t="n"/>
      <c r="I68" s="8" t="n"/>
      <c r="J68" s="8" t="n"/>
    </row>
    <row r="69" customFormat="1" s="8">
      <c r="A69" s="8" t="n"/>
      <c r="B69" s="8" t="n"/>
      <c r="C69" s="28" t="n"/>
      <c r="D69" s="28" t="n"/>
      <c r="E69" s="8" t="n"/>
      <c r="F69" s="8" t="n"/>
      <c r="G69" s="9" t="n"/>
      <c r="H69" s="13" t="n"/>
      <c r="I69" s="8" t="n"/>
      <c r="J69" s="8" t="n"/>
    </row>
    <row r="70" customFormat="1" s="8">
      <c r="A70" s="8" t="n"/>
      <c r="B70" s="8" t="n"/>
      <c r="C70" s="28" t="n"/>
      <c r="D70" s="28" t="n"/>
      <c r="E70" s="8" t="n"/>
      <c r="F70" s="8" t="n"/>
      <c r="G70" s="9" t="n"/>
      <c r="H70" s="13" t="n"/>
      <c r="I70" s="8" t="n"/>
      <c r="J70" s="8" t="n"/>
    </row>
    <row r="71" customFormat="1" s="8">
      <c r="A71" s="8" t="n"/>
      <c r="B71" s="8" t="n"/>
      <c r="C71" s="28" t="n"/>
      <c r="D71" s="28" t="n"/>
      <c r="E71" s="8" t="n"/>
      <c r="F71" s="8" t="n"/>
      <c r="G71" s="9" t="n"/>
      <c r="H71" s="13" t="n"/>
      <c r="I71" s="8" t="n"/>
      <c r="J71" s="8" t="n"/>
    </row>
    <row r="72" customFormat="1" s="8">
      <c r="A72" s="8" t="n"/>
      <c r="B72" s="8" t="n"/>
      <c r="C72" s="28" t="n"/>
      <c r="D72" s="28" t="n"/>
      <c r="E72" s="8" t="n"/>
      <c r="F72" s="8" t="n"/>
      <c r="G72" s="9" t="n"/>
      <c r="H72" s="13" t="n"/>
      <c r="I72" s="8" t="n"/>
      <c r="J72" s="8" t="n"/>
    </row>
    <row r="73" customFormat="1" s="8">
      <c r="A73" s="8" t="n"/>
      <c r="B73" s="8" t="n"/>
      <c r="C73" s="28" t="n"/>
      <c r="D73" s="28" t="n"/>
      <c r="E73" s="8" t="n"/>
      <c r="F73" s="8" t="n"/>
      <c r="G73" s="9" t="n"/>
      <c r="H73" s="13" t="n"/>
      <c r="I73" s="8" t="n"/>
      <c r="J73" s="8" t="n"/>
    </row>
    <row r="74" customFormat="1" s="8">
      <c r="A74" s="8" t="n"/>
      <c r="B74" s="8" t="n"/>
      <c r="C74" s="28" t="n"/>
      <c r="D74" s="28" t="n"/>
      <c r="E74" s="8" t="n"/>
      <c r="F74" s="8" t="n"/>
      <c r="G74" s="9" t="n"/>
      <c r="H74" s="13" t="n"/>
      <c r="I74" s="8" t="n"/>
      <c r="J74" s="8" t="n"/>
    </row>
    <row r="75" customFormat="1" s="8">
      <c r="A75" s="8" t="n"/>
      <c r="B75" s="8" t="n"/>
      <c r="C75" s="28" t="n"/>
      <c r="D75" s="28" t="n"/>
      <c r="E75" s="8" t="n"/>
      <c r="F75" s="8" t="n"/>
      <c r="G75" s="9" t="n"/>
      <c r="H75" s="13" t="n"/>
      <c r="I75" s="8" t="n"/>
      <c r="J75" s="8" t="n"/>
    </row>
    <row r="76">
      <c r="C76" s="31" t="n"/>
      <c r="D76" s="31" t="n"/>
      <c r="G76" s="1" t="n"/>
      <c r="H76" s="12" t="n"/>
    </row>
    <row r="77">
      <c r="C77" s="31" t="n"/>
      <c r="D77" s="31" t="n"/>
      <c r="G77" s="1" t="n"/>
      <c r="H77" s="12" t="n"/>
    </row>
    <row r="78">
      <c r="C78" s="31" t="n"/>
      <c r="D78" s="31" t="n"/>
      <c r="G78" s="1" t="n"/>
      <c r="H78" s="12" t="n"/>
    </row>
    <row r="79">
      <c r="C79" s="31" t="n"/>
      <c r="D79" s="31" t="n"/>
      <c r="G79" s="1" t="n"/>
      <c r="H79" s="12" t="n"/>
    </row>
    <row r="80">
      <c r="C80" s="31" t="n"/>
      <c r="D80" s="31" t="n"/>
      <c r="G80" s="1" t="n"/>
      <c r="H80" s="12" t="n"/>
    </row>
    <row r="81">
      <c r="C81" s="31" t="n"/>
      <c r="D81" s="31" t="n"/>
      <c r="G81" s="1" t="n"/>
      <c r="H81" s="12" t="n"/>
      <c r="J81" s="3" t="n"/>
    </row>
    <row r="82">
      <c r="C82" s="31" t="n"/>
      <c r="D82" s="31" t="n"/>
      <c r="G82" s="1" t="n"/>
      <c r="H82" s="12" t="n"/>
    </row>
    <row r="83">
      <c r="C83" s="31" t="n"/>
      <c r="D83" s="31" t="n"/>
      <c r="G83" s="1" t="n"/>
      <c r="H83" s="12" t="n"/>
    </row>
    <row r="84">
      <c r="C84" s="31" t="n"/>
      <c r="D84" s="31" t="n"/>
      <c r="G84" s="1" t="n"/>
      <c r="H84" s="12" t="n"/>
    </row>
    <row r="85">
      <c r="C85" s="31" t="n"/>
      <c r="D85" s="31" t="n"/>
      <c r="G85" s="1" t="n"/>
      <c r="H85" s="12" t="n"/>
    </row>
    <row r="86">
      <c r="C86" s="31" t="n"/>
      <c r="D86" s="31" t="n"/>
      <c r="G86" s="1" t="n"/>
      <c r="H86" s="12" t="n"/>
    </row>
    <row r="87">
      <c r="C87" s="31" t="n"/>
      <c r="D87" s="31" t="n"/>
      <c r="G87" s="1" t="n"/>
      <c r="H87" s="12" t="n"/>
    </row>
    <row r="88">
      <c r="C88" s="31" t="n"/>
      <c r="D88" s="31" t="n"/>
      <c r="G88" s="1" t="n"/>
      <c r="H88" s="12" t="n"/>
    </row>
    <row r="89">
      <c r="C89" s="31" t="n"/>
      <c r="D89" s="31" t="n"/>
      <c r="G89" s="1" t="n"/>
      <c r="H89" s="12" t="n"/>
    </row>
    <row r="90">
      <c r="C90" s="31" t="n"/>
      <c r="D90" s="31" t="n"/>
      <c r="G90" s="1" t="n"/>
      <c r="H90" s="12" t="n"/>
    </row>
    <row r="91">
      <c r="C91" s="31" t="n"/>
      <c r="D91" s="31" t="n"/>
      <c r="G91" s="1" t="n"/>
      <c r="H91" s="12" t="n"/>
    </row>
    <row r="92">
      <c r="C92" s="31" t="n"/>
      <c r="D92" s="31" t="n"/>
      <c r="G92" s="1" t="n"/>
      <c r="H92" s="12" t="n"/>
    </row>
    <row r="93">
      <c r="C93" s="31" t="n"/>
      <c r="D93" s="31" t="n"/>
      <c r="G93" s="1" t="n"/>
      <c r="H93" s="12" t="n"/>
    </row>
    <row r="94">
      <c r="C94" s="31" t="n"/>
      <c r="D94" s="31" t="n"/>
      <c r="G94" s="1" t="n"/>
      <c r="H94" s="12" t="n"/>
    </row>
    <row r="95">
      <c r="C95" s="31" t="n"/>
      <c r="D95" s="31" t="n"/>
      <c r="G95" s="1" t="n"/>
      <c r="H95" s="12" t="n"/>
    </row>
    <row r="96">
      <c r="C96" s="31" t="n"/>
      <c r="D96" s="31" t="n"/>
      <c r="G96" s="1" t="n"/>
      <c r="H96" s="12" t="n"/>
    </row>
    <row r="97">
      <c r="C97" s="31" t="n"/>
      <c r="D97" s="31" t="n"/>
      <c r="G97" s="1" t="n"/>
      <c r="H97" s="12" t="n"/>
    </row>
    <row r="98">
      <c r="C98" s="31" t="n"/>
      <c r="D98" s="31" t="n"/>
      <c r="G98" s="1" t="n"/>
      <c r="H98" s="12" t="n"/>
    </row>
    <row r="99">
      <c r="C99" s="31" t="n"/>
      <c r="D99" s="31" t="n"/>
      <c r="G99" s="1" t="n"/>
      <c r="H99" s="12" t="n"/>
    </row>
    <row r="100">
      <c r="C100" s="31" t="n"/>
      <c r="D100" s="31" t="n"/>
      <c r="G100" s="1" t="n"/>
      <c r="H100" s="12" t="n"/>
    </row>
    <row r="101">
      <c r="C101" s="31" t="n"/>
      <c r="D101" s="31" t="n"/>
      <c r="G101" s="1" t="n"/>
      <c r="H101" s="12" t="n"/>
    </row>
    <row r="102">
      <c r="B102" s="27" t="n"/>
      <c r="C102" s="7" t="n"/>
      <c r="D102" s="7" t="n"/>
      <c r="G102" s="1" t="n"/>
      <c r="H102" s="12" t="n"/>
    </row>
    <row r="103">
      <c r="B103" s="27" t="n"/>
      <c r="C103" s="7" t="n"/>
      <c r="D103" s="7" t="n"/>
      <c r="G103" s="2" t="n"/>
      <c r="H103" s="12" t="n"/>
    </row>
    <row r="104">
      <c r="B104" s="27" t="n"/>
      <c r="C104" s="7" t="n"/>
      <c r="D104" s="7" t="n"/>
      <c r="G104" s="2" t="n"/>
      <c r="H104" s="12" t="n"/>
    </row>
    <row r="105">
      <c r="B105" s="27" t="n"/>
      <c r="C105" s="7" t="n"/>
      <c r="D105" s="7" t="n"/>
      <c r="G105" s="2" t="n"/>
      <c r="H105" s="12" t="n"/>
    </row>
    <row r="106">
      <c r="B106" s="27" t="n"/>
      <c r="C106" s="7" t="n"/>
      <c r="D106" s="7" t="n"/>
      <c r="G106" s="2" t="n"/>
      <c r="H106" s="12" t="n"/>
    </row>
    <row r="107">
      <c r="B107" s="27" t="n"/>
      <c r="C107" s="7" t="n"/>
      <c r="D107" s="7" t="n"/>
      <c r="G107" s="2" t="n"/>
      <c r="H107" s="12" t="n"/>
    </row>
    <row r="108">
      <c r="B108" s="27" t="n"/>
      <c r="C108" s="7" t="n"/>
      <c r="D108" s="7" t="n"/>
      <c r="G108" s="2" t="n"/>
      <c r="H108" s="12" t="n"/>
    </row>
    <row r="109">
      <c r="B109" s="27" t="n"/>
      <c r="C109" s="7" t="n"/>
      <c r="D109" s="7" t="n"/>
      <c r="G109" s="2" t="n"/>
      <c r="H109" s="12" t="n"/>
    </row>
    <row r="110">
      <c r="B110" s="27" t="n"/>
      <c r="C110" s="7" t="n"/>
      <c r="D110" s="7" t="n"/>
      <c r="G110" s="2" t="n"/>
      <c r="H110" s="12" t="n"/>
    </row>
    <row r="111">
      <c r="B111" s="27" t="n"/>
      <c r="C111" s="7" t="n"/>
      <c r="D111" s="7" t="n"/>
      <c r="G111" s="2" t="n"/>
      <c r="H111" s="12" t="n"/>
    </row>
    <row r="112">
      <c r="B112" s="27" t="n"/>
      <c r="C112" s="7" t="n"/>
      <c r="D112" s="7" t="n"/>
      <c r="G112" s="2" t="n"/>
      <c r="H112" s="12" t="n"/>
    </row>
    <row r="113">
      <c r="B113" s="27" t="n"/>
      <c r="C113" s="7" t="n"/>
      <c r="D113" s="7" t="n"/>
      <c r="G113" s="2" t="n"/>
      <c r="H113" s="12" t="n"/>
    </row>
    <row r="114">
      <c r="B114" s="27" t="n"/>
      <c r="C114" s="7" t="n"/>
      <c r="D114" s="7" t="n"/>
      <c r="G114" s="2" t="n"/>
      <c r="H114" s="12" t="n"/>
    </row>
    <row r="115">
      <c r="B115" s="27" t="n"/>
      <c r="C115" s="7" t="n"/>
      <c r="D115" s="7" t="n"/>
      <c r="G115" s="2" t="n"/>
      <c r="H115" s="12" t="n"/>
    </row>
    <row r="116">
      <c r="B116" s="27" t="n"/>
      <c r="C116" s="7" t="n"/>
      <c r="D116" s="7" t="n"/>
      <c r="G116" s="2" t="n"/>
      <c r="H116" s="12" t="n"/>
    </row>
    <row r="117">
      <c r="B117" s="27" t="n"/>
      <c r="C117" s="7" t="n"/>
      <c r="D117" s="7" t="n"/>
      <c r="G117" s="2" t="n"/>
      <c r="H117" s="12" t="n"/>
    </row>
    <row r="118">
      <c r="B118" s="27" t="n"/>
      <c r="C118" s="7" t="n"/>
      <c r="D118" s="7" t="n"/>
      <c r="G118" s="2" t="n"/>
      <c r="H118" s="12" t="n"/>
    </row>
    <row r="119">
      <c r="B119" s="27" t="n"/>
      <c r="C119" s="7" t="n"/>
      <c r="D119" s="7" t="n"/>
      <c r="G119" s="2" t="n"/>
      <c r="H119" s="12" t="n"/>
    </row>
    <row r="120">
      <c r="B120" s="27" t="n"/>
      <c r="C120" s="7" t="n"/>
      <c r="D120" s="7" t="n"/>
      <c r="G120" s="2" t="n"/>
      <c r="H120" s="12" t="n"/>
    </row>
    <row r="121">
      <c r="B121" s="27" t="n"/>
      <c r="C121" s="7" t="n"/>
      <c r="D121" s="7" t="n"/>
      <c r="G121" s="2" t="n"/>
      <c r="H121" s="12" t="n"/>
    </row>
    <row r="122">
      <c r="B122" s="27" t="n"/>
      <c r="C122" s="7" t="n"/>
      <c r="D122" s="7" t="n"/>
      <c r="G122" s="2" t="n"/>
      <c r="H122" s="12" t="n"/>
    </row>
    <row r="123">
      <c r="B123" s="27" t="n"/>
      <c r="C123" s="7" t="n"/>
      <c r="D123" s="7" t="n"/>
      <c r="G123" s="2" t="n"/>
      <c r="H123" s="12" t="n"/>
    </row>
    <row r="124">
      <c r="B124" s="27" t="n"/>
      <c r="C124" s="7" t="n"/>
      <c r="D124" s="7" t="n"/>
      <c r="G124" s="2" t="n"/>
      <c r="H124" s="12" t="n"/>
    </row>
    <row r="125">
      <c r="B125" s="27" t="n"/>
      <c r="C125" s="7" t="n"/>
      <c r="D125" s="7" t="n"/>
      <c r="G125" s="2" t="n"/>
      <c r="H125" s="12" t="n"/>
    </row>
    <row r="126">
      <c r="B126" s="27" t="n"/>
      <c r="C126" s="7" t="n"/>
      <c r="D126" s="7" t="n"/>
      <c r="G126" s="2" t="n"/>
      <c r="H126" s="12" t="n"/>
    </row>
    <row r="127">
      <c r="B127" s="27" t="n"/>
      <c r="C127" s="7" t="n"/>
      <c r="D127" s="7" t="n"/>
      <c r="G127" s="2" t="n"/>
      <c r="H127" s="12" t="n"/>
    </row>
    <row r="128">
      <c r="B128" s="27" t="n"/>
      <c r="C128" s="7" t="n"/>
      <c r="D128" s="7" t="n"/>
      <c r="G128" s="2" t="n"/>
      <c r="H128" s="12" t="n"/>
    </row>
    <row r="129">
      <c r="B129" s="27" t="n"/>
      <c r="C129" s="7" t="n"/>
      <c r="D129" s="7" t="n"/>
      <c r="G129" s="2" t="n"/>
      <c r="H129" s="12" t="n"/>
    </row>
    <row r="130">
      <c r="B130" s="27" t="n"/>
      <c r="C130" s="7" t="n"/>
      <c r="D130" s="7" t="n"/>
      <c r="G130" s="2" t="n"/>
      <c r="H130" s="12" t="n"/>
    </row>
    <row r="131">
      <c r="B131" s="27" t="n"/>
      <c r="C131" s="7" t="n"/>
      <c r="D131" s="7" t="n"/>
      <c r="G131" s="2" t="n"/>
      <c r="H131" s="12" t="n"/>
    </row>
    <row r="132">
      <c r="B132" s="27" t="n"/>
      <c r="C132" s="7" t="n"/>
      <c r="D132" s="7" t="n"/>
      <c r="G132" s="2" t="n"/>
      <c r="H132" s="12" t="n"/>
    </row>
    <row r="133">
      <c r="B133" s="27" t="n"/>
      <c r="C133" s="7" t="n"/>
      <c r="D133" s="7" t="n"/>
      <c r="G133" s="2" t="n"/>
      <c r="H133" s="12" t="n"/>
    </row>
    <row r="134">
      <c r="B134" s="27" t="n"/>
      <c r="C134" s="7" t="n"/>
      <c r="D134" s="7" t="n"/>
      <c r="G134" s="2" t="n"/>
      <c r="H134" s="12" t="n"/>
    </row>
    <row r="135">
      <c r="B135" s="27" t="n"/>
      <c r="C135" s="7" t="n"/>
      <c r="D135" s="7" t="n"/>
      <c r="G135" s="2" t="n"/>
      <c r="H135" s="12" t="n"/>
    </row>
    <row r="136">
      <c r="B136" s="27" t="n"/>
      <c r="C136" s="7" t="n"/>
      <c r="D136" s="7" t="n"/>
      <c r="G136" s="2" t="n"/>
      <c r="H136" s="12" t="n"/>
    </row>
    <row r="137">
      <c r="B137" s="27" t="n"/>
      <c r="C137" s="7" t="n"/>
      <c r="D137" s="7" t="n"/>
      <c r="G137" s="2" t="n"/>
      <c r="H137" s="12" t="n"/>
    </row>
    <row r="138">
      <c r="B138" s="27" t="n"/>
      <c r="C138" s="7" t="n"/>
      <c r="D138" s="7" t="n"/>
      <c r="G138" s="2" t="n"/>
      <c r="H138" s="12" t="n"/>
    </row>
    <row r="139">
      <c r="B139" s="27" t="n"/>
      <c r="C139" s="7" t="n"/>
      <c r="D139" s="7" t="n"/>
      <c r="G139" s="2" t="n"/>
      <c r="H139" s="12" t="n"/>
    </row>
    <row r="140">
      <c r="B140" s="27" t="n"/>
      <c r="C140" s="7" t="n"/>
      <c r="D140" s="7" t="n"/>
      <c r="G140" s="2" t="n"/>
      <c r="H140" s="12" t="n"/>
    </row>
    <row r="141">
      <c r="B141" s="27" t="n"/>
      <c r="C141" s="7" t="n"/>
      <c r="D141" s="7" t="n"/>
      <c r="G141" s="2" t="n"/>
      <c r="H141" s="12" t="n"/>
    </row>
    <row r="142">
      <c r="B142" s="27" t="n"/>
      <c r="C142" s="7" t="n"/>
      <c r="D142" s="7" t="n"/>
      <c r="G142" s="2" t="n"/>
      <c r="H142" s="12" t="n"/>
    </row>
    <row r="143">
      <c r="B143" s="27" t="n"/>
      <c r="C143" s="7" t="n"/>
      <c r="D143" s="7" t="n"/>
      <c r="G143" s="2" t="n"/>
      <c r="H143" s="12" t="n"/>
    </row>
    <row r="144">
      <c r="B144" s="27" t="n"/>
      <c r="C144" s="7" t="n"/>
      <c r="D144" s="7" t="n"/>
      <c r="G144" s="2" t="n"/>
      <c r="H144" s="12" t="n"/>
    </row>
    <row r="145">
      <c r="B145" s="27" t="n"/>
      <c r="C145" s="7" t="n"/>
      <c r="D145" s="7" t="n"/>
      <c r="G145" s="2" t="n"/>
      <c r="H145" s="12" t="n"/>
    </row>
    <row r="146">
      <c r="B146" s="27" t="n"/>
      <c r="C146" s="7" t="n"/>
      <c r="D146" s="7" t="n"/>
      <c r="G146" s="2" t="n"/>
      <c r="H146" s="12" t="n"/>
    </row>
    <row r="147">
      <c r="B147" s="27" t="n"/>
      <c r="C147" s="7" t="n"/>
      <c r="D147" s="7" t="n"/>
      <c r="G147" s="2" t="n"/>
      <c r="H147" s="12" t="n"/>
    </row>
    <row r="148">
      <c r="B148" s="27" t="n"/>
      <c r="C148" s="7" t="n"/>
      <c r="D148" s="7" t="n"/>
      <c r="G148" s="2" t="n"/>
      <c r="H148" s="12" t="n"/>
    </row>
    <row r="149">
      <c r="B149" s="27" t="n"/>
      <c r="C149" s="7" t="n"/>
      <c r="D149" s="7" t="n"/>
      <c r="G149" s="2" t="n"/>
      <c r="H149" s="12" t="n"/>
    </row>
    <row r="150">
      <c r="B150" s="27" t="n"/>
      <c r="C150" s="7" t="n"/>
      <c r="D150" s="7" t="n"/>
      <c r="G150" s="2" t="n"/>
      <c r="H150" s="12" t="n"/>
    </row>
    <row r="151">
      <c r="B151" s="27" t="n"/>
      <c r="C151" s="7" t="n"/>
      <c r="D151" s="7" t="n"/>
      <c r="G151" s="2" t="n"/>
      <c r="H151" s="12" t="n"/>
    </row>
    <row r="152">
      <c r="B152" s="27" t="n"/>
      <c r="C152" s="7" t="n"/>
      <c r="D152" s="7" t="n"/>
      <c r="G152" s="2" t="n"/>
      <c r="H152" s="12" t="n"/>
    </row>
    <row r="153">
      <c r="B153" s="27" t="n"/>
      <c r="C153" s="7" t="n"/>
      <c r="D153" s="7" t="n"/>
      <c r="G153" s="2" t="n"/>
      <c r="H153" s="12" t="n"/>
    </row>
    <row r="154">
      <c r="B154" s="27" t="n"/>
      <c r="C154" s="7" t="n"/>
      <c r="D154" s="7" t="n"/>
      <c r="G154" s="2" t="n"/>
      <c r="H154" s="12" t="n"/>
    </row>
    <row r="155">
      <c r="B155" s="27" t="n"/>
      <c r="C155" s="7" t="n"/>
      <c r="D155" s="7" t="n"/>
      <c r="G155" s="2" t="n"/>
      <c r="H155" s="12" t="n"/>
    </row>
    <row r="156">
      <c r="B156" s="27" t="n"/>
      <c r="C156" s="7" t="n"/>
      <c r="D156" s="7" t="n"/>
      <c r="G156" s="2" t="n"/>
      <c r="H156" s="12" t="n"/>
    </row>
    <row r="157">
      <c r="B157" s="27" t="n"/>
      <c r="C157" s="7" t="n"/>
      <c r="D157" s="7" t="n"/>
      <c r="G157" s="2" t="n"/>
      <c r="H157" s="12" t="n"/>
    </row>
    <row r="158">
      <c r="B158" s="27" t="n"/>
      <c r="C158" s="7" t="n"/>
      <c r="D158" s="7" t="n"/>
      <c r="G158" s="2" t="n"/>
      <c r="H158" s="12" t="n"/>
    </row>
    <row r="159">
      <c r="B159" s="27" t="n"/>
      <c r="C159" s="7" t="n"/>
      <c r="D159" s="7" t="n"/>
      <c r="G159" s="2" t="n"/>
      <c r="H159" s="12" t="n"/>
    </row>
    <row r="160">
      <c r="B160" s="27" t="n"/>
      <c r="C160" s="7" t="n"/>
      <c r="D160" s="7" t="n"/>
      <c r="G160" s="2" t="n"/>
      <c r="H160" s="12" t="n"/>
    </row>
    <row r="161">
      <c r="B161" s="27" t="n"/>
      <c r="C161" s="7" t="n"/>
      <c r="D161" s="7" t="n"/>
      <c r="G161" s="2" t="n"/>
      <c r="H161" s="12" t="n"/>
    </row>
    <row r="162">
      <c r="B162" s="27" t="n"/>
      <c r="C162" s="7" t="n"/>
      <c r="D162" s="7" t="n"/>
      <c r="G162" s="2" t="n"/>
      <c r="H162" s="12" t="n"/>
    </row>
    <row r="163">
      <c r="B163" s="27" t="n"/>
      <c r="C163" s="7" t="n"/>
      <c r="D163" s="7" t="n"/>
      <c r="G163" s="2" t="n"/>
      <c r="H163" s="12" t="n"/>
    </row>
    <row r="164">
      <c r="B164" s="27" t="n"/>
      <c r="C164" s="7" t="n"/>
      <c r="D164" s="7" t="n"/>
      <c r="G164" s="2" t="n"/>
      <c r="H164" s="12" t="n"/>
    </row>
    <row r="165">
      <c r="B165" s="27" t="n"/>
      <c r="C165" s="7" t="n"/>
      <c r="D165" s="7" t="n"/>
      <c r="G165" s="2" t="n"/>
      <c r="H165" s="12" t="n"/>
    </row>
    <row r="166">
      <c r="B166" s="27" t="n"/>
      <c r="C166" s="7" t="n"/>
      <c r="D166" s="7" t="n"/>
      <c r="G166" s="2" t="n"/>
      <c r="H166" s="12" t="n"/>
    </row>
    <row r="167">
      <c r="B167" s="27" t="n"/>
      <c r="C167" s="7" t="n"/>
      <c r="D167" s="7" t="n"/>
      <c r="G167" s="2" t="n"/>
      <c r="H167" s="12" t="n"/>
    </row>
    <row r="168">
      <c r="B168" s="27" t="n"/>
      <c r="C168" s="7" t="n"/>
      <c r="D168" s="7" t="n"/>
      <c r="G168" s="2" t="n"/>
      <c r="H168" s="12" t="n"/>
    </row>
    <row r="169">
      <c r="B169" s="27" t="n"/>
      <c r="C169" s="7" t="n"/>
      <c r="D169" s="7" t="n"/>
      <c r="G169" s="2" t="n"/>
      <c r="H169" s="12" t="n"/>
    </row>
    <row r="170">
      <c r="B170" s="27" t="n"/>
      <c r="C170" s="7" t="n"/>
      <c r="D170" s="7" t="n"/>
      <c r="G170" s="2" t="n"/>
      <c r="H170" s="12" t="n"/>
    </row>
    <row r="171">
      <c r="B171" s="27" t="n"/>
      <c r="C171" s="7" t="n"/>
      <c r="D171" s="7" t="n"/>
      <c r="G171" s="2" t="n"/>
      <c r="H171" s="12" t="n"/>
    </row>
    <row r="172">
      <c r="B172" s="27" t="n"/>
      <c r="C172" s="7" t="n"/>
      <c r="D172" s="7" t="n"/>
      <c r="G172" s="2" t="n"/>
      <c r="H172" s="12" t="n"/>
    </row>
    <row r="173">
      <c r="B173" s="27" t="n"/>
      <c r="C173" s="7" t="n"/>
      <c r="D173" s="7" t="n"/>
      <c r="G173" s="2" t="n"/>
      <c r="H173" s="12" t="n"/>
    </row>
    <row r="174">
      <c r="B174" s="27" t="n"/>
      <c r="C174" s="7" t="n"/>
      <c r="D174" s="7" t="n"/>
      <c r="G174" s="2" t="n"/>
      <c r="H174" s="12" t="n"/>
    </row>
    <row r="175">
      <c r="B175" s="27" t="n"/>
      <c r="C175" s="7" t="n"/>
      <c r="D175" s="7" t="n"/>
      <c r="G175" s="2" t="n"/>
      <c r="H175" s="12" t="n"/>
    </row>
    <row r="176">
      <c r="B176" s="27" t="n"/>
      <c r="C176" s="7" t="n"/>
      <c r="D176" s="7" t="n"/>
      <c r="G176" s="2" t="n"/>
      <c r="H176" s="12" t="n"/>
    </row>
    <row r="177">
      <c r="B177" s="27" t="n"/>
      <c r="C177" s="7" t="n"/>
      <c r="D177" s="7" t="n"/>
      <c r="G177" s="2" t="n"/>
      <c r="H177" s="12" t="n"/>
    </row>
    <row r="178">
      <c r="B178" s="27" t="n"/>
      <c r="C178" s="7" t="n"/>
      <c r="D178" s="7" t="n"/>
      <c r="G178" s="2" t="n"/>
      <c r="H178" s="12" t="n"/>
    </row>
    <row r="179">
      <c r="B179" s="27" t="n"/>
      <c r="C179" s="7" t="n"/>
      <c r="D179" s="7" t="n"/>
      <c r="G179" s="2" t="n"/>
      <c r="H179" s="12" t="n"/>
    </row>
    <row r="180">
      <c r="B180" s="27" t="n"/>
      <c r="C180" s="7" t="n"/>
      <c r="D180" s="7" t="n"/>
      <c r="G180" s="2" t="n"/>
      <c r="H180" s="12" t="n"/>
    </row>
    <row r="181">
      <c r="B181" s="27" t="n"/>
      <c r="C181" s="7" t="n"/>
      <c r="D181" s="7" t="n"/>
      <c r="G181" s="2" t="n"/>
      <c r="H181" s="12" t="n"/>
    </row>
    <row r="182">
      <c r="B182" s="27" t="n"/>
      <c r="C182" s="7" t="n"/>
      <c r="D182" s="7" t="n"/>
      <c r="G182" s="2" t="n"/>
      <c r="H182" s="12" t="n"/>
    </row>
    <row r="183">
      <c r="B183" s="27" t="n"/>
      <c r="C183" s="7" t="n"/>
      <c r="D183" s="7" t="n"/>
      <c r="G183" s="2" t="n"/>
      <c r="H183" s="12" t="n"/>
    </row>
    <row r="184">
      <c r="B184" s="27" t="n"/>
      <c r="C184" s="7" t="n"/>
      <c r="D184" s="7" t="n"/>
      <c r="G184" s="2" t="n"/>
      <c r="H184" s="12" t="n"/>
    </row>
    <row r="185">
      <c r="B185" s="27" t="n"/>
      <c r="C185" s="7" t="n"/>
      <c r="D185" s="7" t="n"/>
      <c r="G185" s="2" t="n"/>
      <c r="H185" s="12" t="n"/>
    </row>
    <row r="186">
      <c r="B186" s="27" t="n"/>
      <c r="C186" s="7" t="n"/>
      <c r="D186" s="7" t="n"/>
      <c r="G186" s="2" t="n"/>
      <c r="H186" s="12" t="n"/>
    </row>
    <row r="187">
      <c r="B187" s="27" t="n"/>
      <c r="C187" s="7" t="n"/>
      <c r="D187" s="7" t="n"/>
      <c r="G187" s="2" t="n"/>
      <c r="H187" s="12" t="n"/>
    </row>
    <row r="188">
      <c r="A188" s="42" t="n"/>
      <c r="B188" s="43" t="n"/>
      <c r="C188" s="44" t="n"/>
      <c r="D188" s="44" t="n"/>
      <c r="E188" s="42" t="n"/>
      <c r="F188" s="42" t="n"/>
      <c r="G188" s="45" t="n"/>
      <c r="H188" s="46" t="n"/>
      <c r="I188" s="42" t="n"/>
    </row>
    <row r="189">
      <c r="B189" s="27" t="n"/>
      <c r="C189" s="7" t="n"/>
      <c r="D189" s="7" t="n"/>
      <c r="G189" s="2" t="n"/>
      <c r="H189" s="12" t="n"/>
    </row>
    <row r="190">
      <c r="B190" s="27" t="n"/>
      <c r="C190" s="7" t="n"/>
      <c r="D190" s="7" t="n"/>
      <c r="G190" s="2" t="n"/>
      <c r="H190" s="12" t="n"/>
    </row>
    <row r="191">
      <c r="B191" s="27" t="n"/>
      <c r="C191" s="7" t="n"/>
      <c r="D191" s="7" t="n"/>
      <c r="G191" s="2" t="n"/>
      <c r="H191" s="12" t="n"/>
    </row>
    <row r="192">
      <c r="B192" s="27" t="n"/>
      <c r="C192" s="7" t="n"/>
      <c r="D192" s="7" t="n"/>
      <c r="G192" s="2" t="n"/>
      <c r="H192" s="12" t="n"/>
    </row>
    <row r="193">
      <c r="B193" s="27" t="n"/>
      <c r="C193" s="7" t="n"/>
      <c r="D193" s="7" t="n"/>
      <c r="G193" s="2" t="n"/>
      <c r="H193" s="12" t="n"/>
    </row>
    <row r="194">
      <c r="B194" s="27" t="n"/>
      <c r="C194" s="7" t="n"/>
      <c r="D194" s="7" t="n"/>
      <c r="G194" s="2" t="n"/>
      <c r="H194" s="12" t="n"/>
    </row>
    <row r="195">
      <c r="B195" s="27" t="n"/>
      <c r="C195" s="7" t="n"/>
      <c r="D195" s="7" t="n"/>
      <c r="G195" s="2" t="n"/>
      <c r="H195" s="12" t="n"/>
    </row>
    <row r="196">
      <c r="B196" s="27" t="n"/>
      <c r="C196" s="7" t="n"/>
      <c r="D196" s="7" t="n"/>
      <c r="G196" s="2" t="n"/>
      <c r="H196" s="12" t="n"/>
    </row>
    <row r="197">
      <c r="B197" s="27" t="n"/>
      <c r="C197" s="7" t="n"/>
      <c r="D197" s="7" t="n"/>
      <c r="G197" s="2" t="n"/>
      <c r="H197" s="12" t="n"/>
    </row>
    <row r="198">
      <c r="B198" s="27" t="n"/>
      <c r="C198" s="7" t="n"/>
      <c r="D198" s="7" t="n"/>
      <c r="G198" s="2" t="n"/>
      <c r="H198" s="12" t="n"/>
    </row>
    <row r="199">
      <c r="B199" s="27" t="n"/>
      <c r="C199" s="7" t="n"/>
      <c r="D199" s="7" t="n"/>
      <c r="G199" s="2" t="n"/>
      <c r="H199" s="12" t="n"/>
    </row>
    <row r="200">
      <c r="B200" s="27" t="n"/>
      <c r="C200" s="7" t="n"/>
      <c r="D200" s="7" t="n"/>
      <c r="G200" s="2" t="n"/>
      <c r="H200" s="12" t="n"/>
    </row>
    <row r="201">
      <c r="B201" s="27" t="n"/>
      <c r="C201" s="7" t="n"/>
      <c r="D201" s="7" t="n"/>
      <c r="G201" s="2" t="n"/>
      <c r="H201" s="12" t="n"/>
    </row>
    <row r="202">
      <c r="B202" s="27" t="n"/>
      <c r="C202" s="7" t="n"/>
      <c r="D202" s="7" t="n"/>
      <c r="G202" s="2" t="n"/>
      <c r="H202" s="12" t="n"/>
    </row>
    <row r="203">
      <c r="B203" s="27" t="n"/>
      <c r="C203" s="7" t="n"/>
      <c r="D203" s="7" t="n"/>
      <c r="G203" s="2" t="n"/>
      <c r="H203" s="12" t="n"/>
    </row>
    <row r="204">
      <c r="A204" s="32" t="n"/>
      <c r="B204" s="27" t="n"/>
      <c r="C204" s="7" t="n"/>
      <c r="D204" s="7" t="n"/>
      <c r="G204" s="2" t="n"/>
      <c r="H204" s="12" t="n"/>
    </row>
    <row r="205">
      <c r="A205" s="32" t="n"/>
      <c r="B205" s="27" t="n"/>
      <c r="C205" s="7" t="n"/>
      <c r="D205" s="7" t="n"/>
      <c r="G205" s="2" t="n"/>
      <c r="H205" s="12" t="n"/>
    </row>
    <row r="206">
      <c r="B206" s="27" t="n"/>
      <c r="C206" s="7" t="n"/>
      <c r="D206" s="7" t="n"/>
      <c r="G206" s="2" t="n"/>
      <c r="H206" s="12" t="n"/>
    </row>
    <row r="207">
      <c r="B207" s="27" t="n"/>
      <c r="C207" s="7" t="n"/>
      <c r="D207" s="7" t="n"/>
      <c r="G207" s="2" t="n"/>
      <c r="H207" s="12" t="n"/>
    </row>
    <row r="208">
      <c r="B208" s="27" t="n"/>
      <c r="C208" s="7" t="n"/>
      <c r="D208" s="7" t="n"/>
      <c r="G208" s="2" t="n"/>
      <c r="H208" s="12" t="n"/>
    </row>
    <row r="209">
      <c r="B209" s="27" t="n"/>
      <c r="C209" s="7" t="n"/>
      <c r="D209" s="7" t="n"/>
      <c r="G209" s="2" t="n"/>
      <c r="H209" s="12" t="n"/>
    </row>
    <row r="210">
      <c r="B210" s="27" t="n"/>
      <c r="C210" s="7" t="n"/>
      <c r="D210" s="7" t="n"/>
      <c r="G210" s="2" t="n"/>
      <c r="H210" s="12" t="n"/>
    </row>
    <row r="211">
      <c r="B211" s="27" t="n"/>
      <c r="C211" s="7" t="n"/>
      <c r="D211" s="7" t="n"/>
      <c r="G211" s="2" t="n"/>
      <c r="H211" s="12" t="n"/>
    </row>
    <row r="212">
      <c r="B212" s="27" t="n"/>
      <c r="C212" s="7" t="n"/>
      <c r="D212" s="7" t="n"/>
      <c r="G212" s="2" t="n"/>
      <c r="H212" s="12" t="n"/>
    </row>
    <row r="213">
      <c r="B213" s="27" t="n"/>
      <c r="C213" s="7" t="n"/>
      <c r="D213" s="7" t="n"/>
      <c r="G213" s="2" t="n"/>
      <c r="H213" s="12" t="n"/>
    </row>
    <row r="214">
      <c r="B214" s="27" t="n"/>
      <c r="C214" s="7" t="n"/>
      <c r="D214" s="7" t="n"/>
      <c r="G214" s="2" t="n"/>
      <c r="H214" s="12" t="n"/>
    </row>
    <row r="215">
      <c r="B215" s="27" t="n"/>
      <c r="C215" s="7" t="n"/>
      <c r="D215" s="7" t="n"/>
      <c r="G215" s="2" t="n"/>
      <c r="H215" s="12" t="n"/>
    </row>
    <row r="216">
      <c r="A216" s="32" t="n"/>
      <c r="B216" s="27" t="n"/>
      <c r="C216" s="7" t="n"/>
      <c r="D216" s="7" t="n"/>
      <c r="G216" s="2" t="n"/>
      <c r="H216" s="12" t="n"/>
    </row>
    <row r="217">
      <c r="A217" s="32" t="n"/>
      <c r="B217" s="27" t="n"/>
      <c r="C217" s="7" t="n"/>
      <c r="D217" s="7" t="n"/>
      <c r="G217" s="2" t="n"/>
      <c r="H217" s="12" t="n"/>
    </row>
    <row r="218">
      <c r="B218" s="27" t="n"/>
      <c r="C218" s="7" t="n"/>
      <c r="D218" s="7" t="n"/>
      <c r="G218" s="2" t="n"/>
      <c r="H218" s="12" t="n"/>
    </row>
    <row r="219">
      <c r="B219" s="27" t="n"/>
      <c r="C219" s="7" t="n"/>
      <c r="D219" s="7" t="n"/>
      <c r="G219" s="2" t="n"/>
      <c r="H219" s="12" t="n"/>
    </row>
    <row r="220">
      <c r="B220" s="27" t="n"/>
      <c r="C220" s="7" t="n"/>
      <c r="D220" s="7" t="n"/>
      <c r="G220" s="2" t="n"/>
      <c r="H220" s="12" t="n"/>
    </row>
    <row r="221">
      <c r="B221" s="27" t="n"/>
      <c r="C221" s="7" t="n"/>
      <c r="D221" s="7" t="n"/>
      <c r="G221" s="2" t="n"/>
      <c r="H221" s="12" t="n"/>
    </row>
    <row r="222">
      <c r="B222" s="27" t="n"/>
      <c r="C222" s="7" t="n"/>
      <c r="D222" s="7" t="n"/>
      <c r="G222" s="2" t="n"/>
      <c r="H222" s="12" t="n"/>
    </row>
    <row r="223">
      <c r="B223" s="27" t="n"/>
      <c r="C223" s="7" t="n"/>
      <c r="D223" s="7" t="n"/>
      <c r="G223" s="2" t="n"/>
      <c r="H223" s="12" t="n"/>
    </row>
    <row r="224">
      <c r="B224" s="27" t="n"/>
      <c r="C224" s="7" t="n"/>
      <c r="D224" s="7" t="n"/>
      <c r="G224" s="2" t="n"/>
      <c r="H224" s="12" t="n"/>
    </row>
    <row r="225">
      <c r="B225" s="27" t="n"/>
      <c r="C225" s="7" t="n"/>
      <c r="D225" s="7" t="n"/>
      <c r="G225" s="2" t="n"/>
      <c r="H225" s="12" t="n"/>
    </row>
    <row r="226">
      <c r="B226" s="27" t="n"/>
      <c r="C226" s="7" t="n"/>
      <c r="D226" s="7" t="n"/>
      <c r="G226" s="2" t="n"/>
      <c r="H226" s="12" t="n"/>
    </row>
    <row r="227">
      <c r="B227" s="27" t="n"/>
      <c r="C227" s="7" t="n"/>
      <c r="D227" s="7" t="n"/>
      <c r="G227" s="2" t="n"/>
      <c r="H227" s="12" t="n"/>
    </row>
    <row r="228">
      <c r="B228" s="27" t="n"/>
      <c r="C228" s="7" t="n"/>
      <c r="D228" s="7" t="n"/>
      <c r="G228" s="2" t="n"/>
      <c r="H228" s="12" t="n"/>
    </row>
    <row r="229">
      <c r="A229" s="32" t="n"/>
      <c r="B229" s="33" t="n"/>
      <c r="C229" s="34" t="n"/>
      <c r="D229" s="34" t="n"/>
      <c r="E229" s="32" t="n"/>
      <c r="F229" s="32" t="n"/>
      <c r="G229" s="34" t="n"/>
      <c r="H229" s="35" t="n"/>
    </row>
    <row r="230">
      <c r="B230" s="27" t="n"/>
      <c r="C230" s="7" t="n"/>
      <c r="D230" s="7" t="n"/>
      <c r="G230" s="2" t="n"/>
      <c r="H230" s="12" t="n"/>
    </row>
    <row r="231">
      <c r="B231" s="27" t="n"/>
      <c r="C231" s="7" t="n"/>
      <c r="D231" s="7" t="n"/>
      <c r="G231" s="2" t="n"/>
      <c r="H231" s="12" t="n"/>
    </row>
    <row r="232">
      <c r="B232" s="27" t="n"/>
      <c r="C232" s="7" t="n"/>
      <c r="D232" s="7" t="n"/>
      <c r="G232" s="2" t="n"/>
      <c r="H232" s="12" t="n"/>
    </row>
    <row r="233">
      <c r="B233" s="27" t="n"/>
      <c r="C233" s="7" t="n"/>
      <c r="D233" s="7" t="n"/>
      <c r="G233" s="2" t="n"/>
      <c r="H233" s="12" t="n"/>
    </row>
    <row r="234">
      <c r="B234" s="27" t="n"/>
      <c r="C234" s="7" t="n"/>
      <c r="D234" s="7" t="n"/>
      <c r="G234" s="2" t="n"/>
      <c r="H234" s="12" t="n"/>
    </row>
    <row r="235">
      <c r="B235" s="27" t="n"/>
      <c r="C235" s="7" t="n"/>
      <c r="D235" s="7" t="n"/>
      <c r="G235" s="2" t="n"/>
      <c r="H235" s="12" t="n"/>
    </row>
    <row r="236">
      <c r="B236" s="27" t="n"/>
      <c r="C236" s="7" t="n"/>
      <c r="D236" s="7" t="n"/>
      <c r="G236" s="2" t="n"/>
      <c r="H236" s="12" t="n"/>
    </row>
    <row r="237">
      <c r="B237" s="27" t="n"/>
      <c r="C237" s="7" t="n"/>
      <c r="D237" s="7" t="n"/>
      <c r="G237" s="2" t="n"/>
      <c r="H237" s="12" t="n"/>
    </row>
    <row r="238">
      <c r="B238" s="27" t="n"/>
      <c r="C238" s="7" t="n"/>
      <c r="D238" s="7" t="n"/>
      <c r="G238" s="2" t="n"/>
      <c r="H238" s="12" t="n"/>
    </row>
    <row r="239">
      <c r="B239" s="27" t="n"/>
      <c r="C239" s="7" t="n"/>
      <c r="D239" s="7" t="n"/>
      <c r="G239" s="2" t="n"/>
      <c r="H239" s="12" t="n"/>
    </row>
    <row r="240">
      <c r="B240" s="27" t="n"/>
      <c r="C240" s="7" t="n"/>
      <c r="D240" s="7" t="n"/>
      <c r="G240" s="2" t="n"/>
      <c r="H240" s="12" t="n"/>
    </row>
    <row r="241">
      <c r="B241" s="27" t="n"/>
      <c r="C241" s="7" t="n"/>
      <c r="D241" s="7" t="n"/>
      <c r="G241" s="2" t="n"/>
      <c r="H241" s="12" t="n"/>
    </row>
    <row r="242">
      <c r="B242" s="27" t="n"/>
      <c r="C242" s="7" t="n"/>
      <c r="D242" s="7" t="n"/>
      <c r="G242" s="2" t="n"/>
      <c r="H242" s="12" t="n"/>
    </row>
    <row r="243">
      <c r="B243" s="27" t="n"/>
      <c r="C243" s="7" t="n"/>
      <c r="D243" s="7" t="n"/>
      <c r="G243" s="2" t="n"/>
      <c r="H243" s="12" t="n"/>
    </row>
    <row r="244">
      <c r="B244" s="27" t="n"/>
      <c r="C244" s="7" t="n"/>
      <c r="D244" s="7" t="n"/>
      <c r="G244" s="2" t="n"/>
      <c r="H244" s="12" t="n"/>
    </row>
    <row r="245">
      <c r="B245" s="27" t="n"/>
      <c r="C245" s="7" t="n"/>
      <c r="D245" s="7" t="n"/>
      <c r="G245" s="2" t="n"/>
      <c r="H245" s="12" t="n"/>
    </row>
    <row r="246">
      <c r="B246" s="27" t="n"/>
      <c r="C246" s="7" t="n"/>
      <c r="D246" s="7" t="n"/>
      <c r="G246" s="2" t="n"/>
      <c r="H246" s="12" t="n"/>
    </row>
    <row r="247">
      <c r="B247" s="27" t="n"/>
      <c r="C247" s="7" t="n"/>
      <c r="D247" s="7" t="n"/>
      <c r="G247" s="2" t="n"/>
      <c r="H247" s="12" t="n"/>
    </row>
    <row r="248">
      <c r="B248" s="27" t="n"/>
      <c r="C248" s="7" t="n"/>
      <c r="D248" s="7" t="n"/>
      <c r="G248" s="2" t="n"/>
      <c r="H248" s="12" t="n"/>
    </row>
    <row r="249">
      <c r="B249" s="27" t="n"/>
      <c r="C249" s="7" t="n"/>
      <c r="D249" s="7" t="n"/>
      <c r="G249" s="2" t="n"/>
      <c r="H249" s="12" t="n"/>
    </row>
    <row r="250">
      <c r="B250" s="27" t="n"/>
      <c r="C250" s="7" t="n"/>
      <c r="D250" s="7" t="n"/>
      <c r="G250" s="2" t="n"/>
      <c r="H250" s="12" t="n"/>
    </row>
    <row r="251">
      <c r="B251" s="27" t="n"/>
      <c r="C251" s="7" t="n"/>
      <c r="D251" s="7" t="n"/>
      <c r="G251" s="2" t="n"/>
      <c r="H251" s="12" t="n"/>
    </row>
    <row r="252">
      <c r="B252" s="27" t="n"/>
      <c r="C252" s="7" t="n"/>
      <c r="D252" s="7" t="n"/>
      <c r="G252" s="2" t="n"/>
      <c r="H252" s="12" t="n"/>
    </row>
    <row r="253">
      <c r="B253" s="27" t="n"/>
      <c r="C253" s="7" t="n"/>
      <c r="D253" s="7" t="n"/>
      <c r="G253" s="2" t="n"/>
      <c r="H253" s="12" t="n"/>
    </row>
    <row r="254">
      <c r="B254" s="27" t="n"/>
      <c r="C254" s="7" t="n"/>
      <c r="D254" s="7" t="n"/>
      <c r="G254" s="2" t="n"/>
      <c r="H254" s="12" t="n"/>
    </row>
    <row r="255">
      <c r="B255" s="27" t="n"/>
      <c r="C255" s="7" t="n"/>
      <c r="D255" s="7" t="n"/>
      <c r="G255" s="2" t="n"/>
      <c r="H255" s="12" t="n"/>
    </row>
    <row r="256">
      <c r="B256" s="27" t="n"/>
      <c r="C256" s="7" t="n"/>
      <c r="D256" s="7" t="n"/>
      <c r="G256" s="2" t="n"/>
      <c r="H256" s="12" t="n"/>
    </row>
    <row r="257">
      <c r="B257" s="27" t="n"/>
      <c r="C257" s="7" t="n"/>
      <c r="D257" s="7" t="n"/>
      <c r="G257" s="2" t="n"/>
      <c r="H257" s="12" t="n"/>
    </row>
    <row r="258">
      <c r="B258" s="27" t="n"/>
      <c r="C258" s="7" t="n"/>
      <c r="D258" s="7" t="n"/>
      <c r="G258" s="2" t="n"/>
      <c r="H258" s="12" t="n"/>
    </row>
    <row r="259">
      <c r="B259" s="27" t="n"/>
      <c r="C259" s="7" t="n"/>
      <c r="D259" s="7" t="n"/>
      <c r="G259" s="2" t="n"/>
      <c r="H259" s="12" t="n"/>
    </row>
    <row r="260">
      <c r="B260" s="27" t="n"/>
      <c r="C260" s="7" t="n"/>
      <c r="D260" s="7" t="n"/>
      <c r="G260" s="2" t="n"/>
      <c r="H260" s="12" t="n"/>
    </row>
    <row r="261">
      <c r="B261" s="27" t="n"/>
      <c r="C261" s="7" t="n"/>
      <c r="D261" s="7" t="n"/>
      <c r="G261" s="2" t="n"/>
      <c r="H261" s="12" t="n"/>
    </row>
    <row r="262">
      <c r="A262" s="32" t="n"/>
      <c r="B262" s="27" t="n"/>
      <c r="C262" s="7" t="n"/>
      <c r="D262" s="7" t="n"/>
      <c r="G262" s="2" t="n"/>
      <c r="H262" s="12" t="n"/>
    </row>
    <row r="263">
      <c r="A263" s="32" t="n"/>
      <c r="B263" s="27" t="n"/>
      <c r="C263" s="7" t="n"/>
      <c r="D263" s="7" t="n"/>
      <c r="G263" s="2" t="n"/>
      <c r="H263" s="12" t="n"/>
    </row>
    <row r="264">
      <c r="A264" s="32" t="n"/>
      <c r="B264" s="27" t="n"/>
      <c r="C264" s="7" t="n"/>
      <c r="D264" s="7" t="n"/>
      <c r="G264" s="2" t="n"/>
      <c r="H264" s="12" t="n"/>
    </row>
    <row r="265">
      <c r="A265" s="32" t="n"/>
      <c r="B265" s="27" t="n"/>
      <c r="C265" s="7" t="n"/>
      <c r="D265" s="7" t="n"/>
      <c r="G265" s="2" t="n"/>
      <c r="H265" s="12" t="n"/>
    </row>
    <row r="266">
      <c r="B266" s="27" t="n"/>
      <c r="C266" s="7" t="n"/>
      <c r="D266" s="7" t="n"/>
      <c r="G266" s="2" t="n"/>
      <c r="H266" s="12" t="n"/>
    </row>
    <row r="267">
      <c r="B267" s="27" t="n"/>
      <c r="C267" s="7" t="n"/>
      <c r="D267" s="7" t="n"/>
      <c r="G267" s="2" t="n"/>
      <c r="H267" s="12" t="n"/>
    </row>
    <row r="268">
      <c r="B268" s="27" t="n"/>
      <c r="C268" s="7" t="n"/>
      <c r="D268" s="7" t="n"/>
      <c r="G268" s="2" t="n"/>
      <c r="H268" s="12" t="n"/>
    </row>
    <row r="269">
      <c r="B269" s="27" t="n"/>
      <c r="C269" s="7" t="n"/>
      <c r="D269" s="7" t="n"/>
      <c r="G269" s="2" t="n"/>
      <c r="H269" s="12" t="n"/>
    </row>
    <row r="270">
      <c r="A270" s="32" t="n"/>
      <c r="B270" s="27" t="n"/>
      <c r="C270" s="7" t="n"/>
      <c r="D270" s="7" t="n"/>
      <c r="G270" s="2" t="n"/>
      <c r="H270" s="12" t="n"/>
    </row>
    <row r="271">
      <c r="A271" s="32" t="n"/>
      <c r="B271" s="27" t="n"/>
      <c r="C271" s="7" t="n"/>
      <c r="D271" s="7" t="n"/>
      <c r="G271" s="2" t="n"/>
      <c r="H271" s="12" t="n"/>
    </row>
    <row r="272">
      <c r="B272" s="27" t="n"/>
      <c r="C272" s="7" t="n"/>
      <c r="D272" s="7" t="n"/>
      <c r="G272" s="2" t="n"/>
      <c r="H272" s="12" t="n"/>
    </row>
    <row r="273">
      <c r="B273" s="27" t="n"/>
      <c r="C273" s="7" t="n"/>
      <c r="D273" s="7" t="n"/>
      <c r="G273" s="2" t="n"/>
      <c r="H273" s="12" t="n"/>
    </row>
    <row r="274">
      <c r="B274" s="27" t="n"/>
      <c r="C274" s="7" t="n"/>
      <c r="D274" s="7" t="n"/>
      <c r="G274" s="2" t="n"/>
      <c r="H274" s="12" t="n"/>
    </row>
    <row r="275">
      <c r="B275" s="27" t="n"/>
      <c r="C275" s="7" t="n"/>
      <c r="D275" s="7" t="n"/>
      <c r="G275" s="2" t="n"/>
      <c r="H275" s="12" t="n"/>
    </row>
    <row r="276">
      <c r="B276" s="27" t="n"/>
      <c r="C276" s="7" t="n"/>
      <c r="D276" s="7" t="n"/>
      <c r="G276" s="2" t="n"/>
      <c r="H276" s="12" t="n"/>
    </row>
    <row r="277">
      <c r="B277" s="27" t="n"/>
      <c r="C277" s="7" t="n"/>
      <c r="D277" s="7" t="n"/>
      <c r="G277" s="2" t="n"/>
      <c r="H277" s="12" t="n"/>
    </row>
    <row r="278">
      <c r="B278" s="27" t="n"/>
      <c r="C278" s="7" t="n"/>
      <c r="D278" s="7" t="n"/>
      <c r="G278" s="2" t="n"/>
      <c r="H278" s="12" t="n"/>
    </row>
    <row r="279">
      <c r="B279" s="27" t="n"/>
      <c r="C279" s="7" t="n"/>
      <c r="D279" s="7" t="n"/>
      <c r="G279" s="2" t="n"/>
      <c r="H279" s="12" t="n"/>
    </row>
    <row r="280">
      <c r="B280" s="27" t="n"/>
      <c r="C280" s="7" t="n"/>
      <c r="D280" s="7" t="n"/>
      <c r="G280" s="2" t="n"/>
      <c r="H280" s="12" t="n"/>
    </row>
    <row r="281">
      <c r="B281" s="27" t="n"/>
      <c r="C281" s="7" t="n"/>
      <c r="D281" s="7" t="n"/>
      <c r="G281" s="2" t="n"/>
      <c r="H281" s="12" t="n"/>
    </row>
    <row r="282">
      <c r="B282" s="27" t="n"/>
      <c r="C282" s="7" t="n"/>
      <c r="D282" s="7" t="n"/>
      <c r="G282" s="2" t="n"/>
      <c r="H282" s="12" t="n"/>
    </row>
    <row r="283">
      <c r="B283" s="27" t="n"/>
      <c r="C283" s="7" t="n"/>
      <c r="D283" s="7" t="n"/>
      <c r="G283" s="2" t="n"/>
      <c r="H283" s="12" t="n"/>
    </row>
    <row r="284">
      <c r="B284" s="27" t="n"/>
      <c r="C284" s="7" t="n"/>
      <c r="D284" s="7" t="n"/>
      <c r="G284" s="2" t="n"/>
      <c r="H284" s="12" t="n"/>
    </row>
    <row r="285">
      <c r="B285" s="27" t="n"/>
      <c r="C285" s="7" t="n"/>
      <c r="D285" s="7" t="n"/>
      <c r="G285" s="2" t="n"/>
      <c r="H285" s="12" t="n"/>
    </row>
    <row r="286">
      <c r="B286" s="27" t="n"/>
      <c r="C286" s="7" t="n"/>
      <c r="D286" s="7" t="n"/>
      <c r="G286" s="2" t="n"/>
      <c r="H286" s="12" t="n"/>
    </row>
    <row r="287">
      <c r="B287" s="27" t="n"/>
      <c r="C287" s="7" t="n"/>
      <c r="D287" s="7" t="n"/>
      <c r="G287" s="2" t="n"/>
      <c r="H287" s="12" t="n"/>
    </row>
    <row r="288">
      <c r="B288" s="27" t="n"/>
      <c r="C288" s="7" t="n"/>
      <c r="D288" s="7" t="n"/>
      <c r="G288" s="2" t="n"/>
      <c r="H288" s="12" t="n"/>
    </row>
    <row r="289">
      <c r="B289" s="27" t="n"/>
      <c r="C289" s="7" t="n"/>
      <c r="D289" s="7" t="n"/>
      <c r="G289" s="2" t="n"/>
      <c r="H289" s="12" t="n"/>
    </row>
    <row r="290">
      <c r="B290" s="27" t="n"/>
      <c r="C290" s="7" t="n"/>
      <c r="D290" s="7" t="n"/>
      <c r="G290" s="2" t="n"/>
      <c r="H290" s="12" t="n"/>
    </row>
    <row r="291">
      <c r="B291" s="27" t="n"/>
      <c r="C291" s="7" t="n"/>
      <c r="D291" s="7" t="n"/>
      <c r="G291" s="2" t="n"/>
      <c r="H291" s="12" t="n"/>
    </row>
    <row r="292">
      <c r="B292" s="27" t="n"/>
      <c r="C292" s="7" t="n"/>
      <c r="D292" s="7" t="n"/>
      <c r="G292" s="2" t="n"/>
      <c r="H292" s="12" t="n"/>
    </row>
    <row r="293">
      <c r="B293" s="27" t="n"/>
      <c r="C293" s="7" t="n"/>
      <c r="D293" s="7" t="n"/>
      <c r="G293" s="2" t="n"/>
      <c r="H293" s="12" t="n"/>
    </row>
    <row r="294">
      <c r="B294" s="27" t="n"/>
      <c r="C294" s="7" t="n"/>
      <c r="D294" s="7" t="n"/>
      <c r="G294" s="2" t="n"/>
      <c r="H294" s="12" t="n"/>
    </row>
    <row r="295">
      <c r="B295" s="27" t="n"/>
      <c r="C295" s="7" t="n"/>
      <c r="D295" s="7" t="n"/>
      <c r="G295" s="2" t="n"/>
      <c r="H295" s="12" t="n"/>
    </row>
    <row r="296">
      <c r="B296" s="27" t="n"/>
      <c r="C296" s="7" t="n"/>
      <c r="D296" s="7" t="n"/>
      <c r="G296" s="2" t="n"/>
      <c r="H296" s="12" t="n"/>
    </row>
    <row r="297">
      <c r="A297" s="27" t="n"/>
      <c r="B297" s="27" t="n"/>
      <c r="C297" s="7" t="n"/>
      <c r="D297" s="7" t="n"/>
      <c r="G297" s="2" t="n"/>
      <c r="H297" s="12" t="n"/>
    </row>
    <row r="298">
      <c r="A298" s="27" t="n"/>
      <c r="B298" s="27" t="n"/>
      <c r="C298" s="7" t="n"/>
      <c r="D298" s="7" t="n"/>
      <c r="G298" s="2" t="n"/>
      <c r="H298" s="12" t="n"/>
    </row>
    <row r="299">
      <c r="B299" s="27" t="n"/>
      <c r="C299" s="7" t="n"/>
      <c r="D299" s="7" t="n"/>
      <c r="G299" s="2" t="n"/>
      <c r="H299" s="12" t="n"/>
    </row>
    <row r="300">
      <c r="B300" s="27" t="n"/>
      <c r="C300" s="7" t="n"/>
      <c r="D300" s="7" t="n"/>
      <c r="G300" s="2" t="n"/>
      <c r="H300" s="12" t="n"/>
    </row>
    <row r="301">
      <c r="B301" s="27" t="n"/>
      <c r="C301" s="7" t="n"/>
      <c r="D301" s="7" t="n"/>
      <c r="G301" s="2" t="n"/>
      <c r="H301" s="12" t="n"/>
    </row>
    <row r="302">
      <c r="B302" s="27" t="n"/>
      <c r="C302" s="7" t="n"/>
      <c r="D302" s="7" t="n"/>
      <c r="G302" s="2" t="n"/>
      <c r="H302" s="12" t="n"/>
    </row>
    <row r="303">
      <c r="B303" s="27" t="n"/>
      <c r="C303" s="7" t="n"/>
      <c r="D303" s="7" t="n"/>
      <c r="G303" s="2" t="n"/>
      <c r="H303" s="12" t="n"/>
    </row>
    <row r="304">
      <c r="B304" s="27" t="n"/>
      <c r="C304" s="7" t="n"/>
      <c r="D304" s="7" t="n"/>
      <c r="G304" s="2" t="n"/>
      <c r="H304" s="12" t="n"/>
    </row>
    <row r="305">
      <c r="B305" s="27" t="n"/>
      <c r="C305" s="7" t="n"/>
      <c r="D305" s="7" t="n"/>
      <c r="G305" s="2" t="n"/>
      <c r="H305" s="12" t="n"/>
    </row>
    <row r="306">
      <c r="B306" s="27" t="n"/>
      <c r="C306" s="7" t="n"/>
      <c r="D306" s="7" t="n"/>
      <c r="G306" s="2" t="n"/>
      <c r="H306" s="12" t="n"/>
    </row>
    <row r="307">
      <c r="B307" s="27" t="n"/>
      <c r="C307" s="7" t="n"/>
      <c r="D307" s="7" t="n"/>
      <c r="G307" s="2" t="n"/>
      <c r="H307" s="12" t="n"/>
    </row>
    <row r="308">
      <c r="B308" s="27" t="n"/>
      <c r="C308" s="7" t="n"/>
      <c r="D308" s="7" t="n"/>
      <c r="G308" s="2" t="n"/>
      <c r="H308" s="12" t="n"/>
    </row>
    <row r="309">
      <c r="B309" s="27" t="n"/>
      <c r="C309" s="7" t="n"/>
      <c r="D309" s="7" t="n"/>
      <c r="G309" s="2" t="n"/>
      <c r="H309" s="12" t="n"/>
    </row>
    <row r="310">
      <c r="B310" s="27" t="n"/>
      <c r="C310" s="7" t="n"/>
      <c r="D310" s="7" t="n"/>
      <c r="G310" s="2" t="n"/>
      <c r="H310" s="12" t="n"/>
    </row>
    <row r="311">
      <c r="B311" s="27" t="n"/>
      <c r="C311" s="7" t="n"/>
      <c r="D311" s="7" t="n"/>
      <c r="G311" s="2" t="n"/>
      <c r="H311" s="12" t="n"/>
    </row>
    <row r="312">
      <c r="B312" s="27" t="n"/>
      <c r="C312" s="7" t="n"/>
      <c r="D312" s="7" t="n"/>
      <c r="G312" s="2" t="n"/>
      <c r="H312" s="12" t="n"/>
    </row>
    <row r="313">
      <c r="B313" s="27" t="n"/>
      <c r="C313" s="7" t="n"/>
      <c r="D313" s="7" t="n"/>
      <c r="G313" s="2" t="n"/>
      <c r="H313" s="12" t="n"/>
    </row>
    <row r="314">
      <c r="B314" s="27" t="n"/>
      <c r="C314" s="7" t="n"/>
      <c r="D314" s="7" t="n"/>
      <c r="G314" s="2" t="n"/>
      <c r="H314" s="12" t="n"/>
    </row>
    <row r="315">
      <c r="B315" s="27" t="n"/>
      <c r="C315" s="7" t="n"/>
      <c r="D315" s="7" t="n"/>
      <c r="G315" s="2" t="n"/>
      <c r="H315" s="12" t="n"/>
    </row>
    <row r="316">
      <c r="B316" s="27" t="n"/>
      <c r="C316" s="7" t="n"/>
      <c r="D316" s="7" t="n"/>
      <c r="G316" s="2" t="n"/>
      <c r="H316" s="12" t="n"/>
    </row>
    <row r="317">
      <c r="B317" s="27" t="n"/>
      <c r="C317" s="7" t="n"/>
      <c r="D317" s="7" t="n"/>
      <c r="G317" s="2" t="n"/>
      <c r="H317" s="12" t="n"/>
    </row>
    <row r="318">
      <c r="B318" s="27" t="n"/>
      <c r="C318" s="7" t="n"/>
      <c r="D318" s="7" t="n"/>
      <c r="G318" s="2" t="n"/>
      <c r="H318" s="12" t="n"/>
    </row>
    <row r="319">
      <c r="B319" s="27" t="n"/>
      <c r="C319" s="7" t="n"/>
      <c r="D319" s="7" t="n"/>
      <c r="G319" s="2" t="n"/>
      <c r="H319" s="12" t="n"/>
    </row>
    <row r="320">
      <c r="B320" s="27" t="n"/>
      <c r="C320" s="7" t="n"/>
      <c r="D320" s="7" t="n"/>
      <c r="G320" s="2" t="n"/>
      <c r="H320" s="12" t="n"/>
    </row>
    <row r="321">
      <c r="B321" s="27" t="n"/>
      <c r="C321" s="7" t="n"/>
      <c r="D321" s="7" t="n"/>
      <c r="G321" s="2" t="n"/>
      <c r="H321" s="12" t="n"/>
    </row>
    <row r="322">
      <c r="B322" s="27" t="n"/>
      <c r="C322" s="7" t="n"/>
      <c r="D322" s="7" t="n"/>
      <c r="G322" s="2" t="n"/>
      <c r="H322" s="12" t="n"/>
    </row>
    <row r="323">
      <c r="B323" s="27" t="n"/>
      <c r="C323" s="7" t="n"/>
      <c r="D323" s="7" t="n"/>
      <c r="G323" s="2" t="n"/>
      <c r="H323" s="12" t="n"/>
    </row>
    <row r="324">
      <c r="B324" s="27" t="n"/>
      <c r="C324" s="7" t="n"/>
      <c r="D324" s="7" t="n"/>
      <c r="G324" s="2" t="n"/>
      <c r="H324" s="12" t="n"/>
    </row>
    <row r="325">
      <c r="B325" s="27" t="n"/>
      <c r="C325" s="7" t="n"/>
      <c r="D325" s="7" t="n"/>
      <c r="G325" s="2" t="n"/>
      <c r="H325" s="12" t="n"/>
    </row>
    <row r="326">
      <c r="B326" s="27" t="n"/>
      <c r="C326" s="7" t="n"/>
      <c r="D326" s="7" t="n"/>
      <c r="G326" s="2" t="n"/>
      <c r="H326" s="12" t="n"/>
    </row>
    <row r="327">
      <c r="B327" s="27" t="n"/>
      <c r="C327" s="7" t="n"/>
      <c r="D327" s="7" t="n"/>
      <c r="G327" s="2" t="n"/>
      <c r="H327" s="12" t="n"/>
    </row>
    <row r="328">
      <c r="C328" s="7" t="n"/>
      <c r="D328" s="7" t="n"/>
      <c r="G328" s="2" t="n"/>
      <c r="H328" s="12" t="n"/>
    </row>
    <row r="329">
      <c r="C329" s="7" t="n"/>
      <c r="D329" s="7" t="n"/>
      <c r="G329" s="2" t="n"/>
      <c r="H329" s="12" t="n"/>
    </row>
    <row r="330">
      <c r="C330" s="7" t="n"/>
      <c r="D330" s="7" t="n"/>
      <c r="G330" s="2" t="n"/>
      <c r="H330" s="12" t="n"/>
    </row>
    <row r="331">
      <c r="C331" s="7" t="n"/>
      <c r="D331" s="7" t="n"/>
      <c r="G331" s="2" t="n"/>
      <c r="H331" s="12" t="n"/>
    </row>
    <row r="332">
      <c r="C332" s="7" t="n"/>
      <c r="D332" s="7" t="n"/>
      <c r="G332" s="2" t="n"/>
      <c r="H332" s="12" t="n"/>
    </row>
    <row r="333">
      <c r="C333" s="7" t="n"/>
      <c r="D333" s="7" t="n"/>
      <c r="G333" s="2" t="n"/>
      <c r="H333" s="12" t="n"/>
    </row>
    <row r="334">
      <c r="C334" s="7" t="n"/>
      <c r="D334" s="7" t="n"/>
      <c r="G334" s="2" t="n"/>
      <c r="H334" s="12" t="n"/>
    </row>
    <row r="335">
      <c r="C335" s="7" t="n"/>
      <c r="D335" s="7" t="n"/>
      <c r="G335" s="2" t="n"/>
      <c r="H335" s="12" t="n"/>
    </row>
    <row r="336">
      <c r="C336" s="7" t="n"/>
      <c r="D336" s="7" t="n"/>
      <c r="G336" s="2" t="n"/>
      <c r="H336" s="12" t="n"/>
    </row>
    <row r="337">
      <c r="C337" s="7" t="n"/>
      <c r="D337" s="7" t="n"/>
      <c r="G337" s="2" t="n"/>
      <c r="H337" s="12" t="n"/>
    </row>
    <row r="338">
      <c r="C338" s="7" t="n"/>
      <c r="D338" s="7" t="n"/>
      <c r="G338" s="2" t="n"/>
      <c r="H338" s="12" t="n"/>
    </row>
    <row r="339">
      <c r="C339" s="7" t="n"/>
      <c r="D339" s="7" t="n"/>
      <c r="G339" s="2" t="n"/>
      <c r="H339" s="12" t="n"/>
    </row>
    <row r="340">
      <c r="C340" s="7" t="n"/>
      <c r="D340" s="7" t="n"/>
      <c r="G340" s="2" t="n"/>
      <c r="H340" s="12" t="n"/>
    </row>
    <row r="341">
      <c r="C341" s="7" t="n"/>
      <c r="D341" s="7" t="n"/>
      <c r="G341" s="2" t="n"/>
      <c r="H341" s="12" t="n"/>
    </row>
    <row r="342">
      <c r="C342" s="7" t="n"/>
      <c r="D342" s="7" t="n"/>
      <c r="G342" s="2" t="n"/>
      <c r="H342" s="12" t="n"/>
    </row>
    <row r="343">
      <c r="C343" s="7" t="n"/>
      <c r="D343" s="7" t="n"/>
      <c r="G343" s="2" t="n"/>
      <c r="H343" s="12" t="n"/>
    </row>
    <row r="344">
      <c r="C344" s="7" t="n"/>
      <c r="D344" s="7" t="n"/>
      <c r="G344" s="2" t="n"/>
      <c r="H344" s="12" t="n"/>
    </row>
    <row r="345">
      <c r="C345" s="7" t="n"/>
      <c r="D345" s="7" t="n"/>
      <c r="G345" s="2" t="n"/>
      <c r="H345" s="12" t="n"/>
    </row>
    <row r="346">
      <c r="C346" s="7" t="n"/>
      <c r="D346" s="7" t="n"/>
      <c r="G346" s="2" t="n"/>
      <c r="H346" s="12" t="n"/>
    </row>
    <row r="347">
      <c r="C347" s="7" t="n"/>
      <c r="D347" s="7" t="n"/>
      <c r="G347" s="2" t="n"/>
      <c r="H347" s="12" t="n"/>
    </row>
    <row r="348">
      <c r="C348" s="7" t="n"/>
      <c r="D348" s="7" t="n"/>
      <c r="G348" s="2" t="n"/>
      <c r="H348" s="12" t="n"/>
    </row>
    <row r="349">
      <c r="C349" s="7" t="n"/>
      <c r="D349" s="7" t="n"/>
      <c r="G349" s="2" t="n"/>
      <c r="H349" s="12" t="n"/>
    </row>
    <row r="350">
      <c r="C350" s="7" t="n"/>
      <c r="D350" s="7" t="n"/>
      <c r="G350" s="2" t="n"/>
      <c r="H350" s="12" t="n"/>
    </row>
    <row r="351">
      <c r="C351" s="7" t="n"/>
      <c r="D351" s="7" t="n"/>
      <c r="G351" s="2" t="n"/>
      <c r="H351" s="12" t="n"/>
    </row>
    <row r="352">
      <c r="C352" s="7" t="n"/>
      <c r="D352" s="7" t="n"/>
      <c r="G352" s="2" t="n"/>
      <c r="H352" s="12" t="n"/>
    </row>
    <row r="353">
      <c r="C353" s="7" t="n"/>
      <c r="D353" s="7" t="n"/>
      <c r="G353" s="2" t="n"/>
      <c r="H353" s="12" t="n"/>
    </row>
    <row r="354">
      <c r="C354" s="7" t="n"/>
      <c r="D354" s="7" t="n"/>
      <c r="G354" s="2" t="n"/>
      <c r="H354" s="12" t="n"/>
    </row>
    <row r="355">
      <c r="C355" s="7" t="n"/>
      <c r="D355" s="7" t="n"/>
      <c r="G355" s="2" t="n"/>
      <c r="H355" s="12" t="n"/>
    </row>
    <row r="356">
      <c r="C356" s="7" t="n"/>
      <c r="D356" s="7" t="n"/>
      <c r="G356" s="2" t="n"/>
      <c r="H356" s="12" t="n"/>
    </row>
    <row r="357">
      <c r="C357" s="7" t="n"/>
      <c r="D357" s="7" t="n"/>
      <c r="G357" s="2" t="n"/>
      <c r="H357" s="12" t="n"/>
    </row>
    <row r="358">
      <c r="C358" s="7" t="n"/>
      <c r="D358" s="7" t="n"/>
      <c r="G358" s="2" t="n"/>
      <c r="H358" s="12" t="n"/>
    </row>
    <row r="359">
      <c r="C359" s="7" t="n"/>
      <c r="D359" s="7" t="n"/>
      <c r="G359" s="2" t="n"/>
      <c r="H359" s="12" t="n"/>
    </row>
    <row r="360">
      <c r="C360" s="7" t="n"/>
      <c r="D360" s="7" t="n"/>
      <c r="G360" s="2" t="n"/>
      <c r="H360" s="12" t="n"/>
    </row>
    <row r="361">
      <c r="C361" s="7" t="n"/>
      <c r="D361" s="7" t="n"/>
      <c r="G361" s="2" t="n"/>
      <c r="H361" s="12" t="n"/>
    </row>
    <row r="362">
      <c r="C362" s="7" t="n"/>
      <c r="D362" s="7" t="n"/>
      <c r="G362" s="2" t="n"/>
      <c r="H362" s="12" t="n"/>
    </row>
    <row r="363">
      <c r="C363" s="7" t="n"/>
      <c r="D363" s="7" t="n"/>
      <c r="G363" s="2" t="n"/>
      <c r="H363" s="12" t="n"/>
    </row>
    <row r="364">
      <c r="C364" s="7" t="n"/>
      <c r="D364" s="7" t="n"/>
      <c r="G364" s="2" t="n"/>
      <c r="H364" s="12" t="n"/>
    </row>
    <row r="365">
      <c r="C365" s="7" t="n"/>
      <c r="D365" s="7" t="n"/>
      <c r="G365" s="2" t="n"/>
      <c r="H365" s="12" t="n"/>
    </row>
    <row r="366">
      <c r="C366" s="7" t="n"/>
      <c r="D366" s="7" t="n"/>
      <c r="G366" s="2" t="n"/>
      <c r="H366" s="12" t="n"/>
    </row>
    <row r="367">
      <c r="C367" s="7" t="n"/>
      <c r="D367" s="7" t="n"/>
      <c r="G367" s="2" t="n"/>
      <c r="H367" s="12" t="n"/>
    </row>
    <row r="368">
      <c r="C368" s="7" t="n"/>
      <c r="D368" s="7" t="n"/>
      <c r="G368" s="2" t="n"/>
      <c r="H368" s="12" t="n"/>
    </row>
    <row r="369">
      <c r="C369" s="7" t="n"/>
      <c r="D369" s="7" t="n"/>
      <c r="G369" s="2" t="n"/>
      <c r="H369" s="12" t="n"/>
    </row>
    <row r="370">
      <c r="C370" s="7" t="n"/>
      <c r="D370" s="7" t="n"/>
      <c r="G370" s="2" t="n"/>
      <c r="H370" s="12" t="n"/>
    </row>
    <row r="371">
      <c r="C371" s="7" t="n"/>
      <c r="D371" s="7" t="n"/>
      <c r="G371" s="2" t="n"/>
      <c r="H371" s="12" t="n"/>
    </row>
    <row r="372">
      <c r="C372" s="7" t="n"/>
      <c r="D372" s="7" t="n"/>
      <c r="G372" s="2" t="n"/>
      <c r="H372" s="12" t="n"/>
    </row>
    <row r="373">
      <c r="C373" s="7" t="n"/>
      <c r="D373" s="7" t="n"/>
      <c r="G373" s="2" t="n"/>
      <c r="H373" s="12" t="n"/>
    </row>
    <row r="374">
      <c r="C374" s="7" t="n"/>
      <c r="D374" s="7" t="n"/>
      <c r="G374" s="2" t="n"/>
      <c r="H374" s="12" t="n"/>
    </row>
    <row r="375">
      <c r="C375" s="7" t="n"/>
      <c r="D375" s="7" t="n"/>
      <c r="G375" s="2" t="n"/>
      <c r="H375" s="12" t="n"/>
    </row>
    <row r="376">
      <c r="C376" s="7" t="n"/>
      <c r="D376" s="7" t="n"/>
      <c r="G376" s="2" t="n"/>
      <c r="H376" s="12" t="n"/>
    </row>
    <row r="377">
      <c r="C377" s="7" t="n"/>
      <c r="D377" s="7" t="n"/>
      <c r="G377" s="2" t="n"/>
      <c r="H377" s="12" t="n"/>
    </row>
    <row r="378">
      <c r="C378" s="7" t="n"/>
      <c r="D378" s="7" t="n"/>
      <c r="G378" s="2" t="n"/>
      <c r="H378" s="12" t="n"/>
    </row>
    <row r="379">
      <c r="C379" s="7" t="n"/>
      <c r="D379" s="7" t="n"/>
      <c r="G379" s="2" t="n"/>
      <c r="H379" s="12" t="n"/>
    </row>
    <row r="380">
      <c r="C380" s="7" t="n"/>
      <c r="D380" s="7" t="n"/>
      <c r="G380" s="2" t="n"/>
      <c r="H380" s="12" t="n"/>
    </row>
    <row r="381">
      <c r="C381" s="7" t="n"/>
      <c r="D381" s="7" t="n"/>
      <c r="G381" s="2" t="n"/>
      <c r="H381" s="12" t="n"/>
    </row>
    <row r="382">
      <c r="C382" s="7" t="n"/>
      <c r="D382" s="7" t="n"/>
      <c r="G382" s="2" t="n"/>
      <c r="H382" s="12" t="n"/>
    </row>
    <row r="383">
      <c r="C383" s="7" t="n"/>
      <c r="D383" s="7" t="n"/>
      <c r="G383" s="2" t="n"/>
      <c r="H383" s="12" t="n"/>
    </row>
    <row r="384">
      <c r="C384" s="7" t="n"/>
      <c r="D384" s="7" t="n"/>
      <c r="G384" s="2" t="n"/>
      <c r="H384" s="12" t="n"/>
    </row>
    <row r="385">
      <c r="C385" s="7" t="n"/>
      <c r="D385" s="7" t="n"/>
      <c r="G385" s="2" t="n"/>
      <c r="H385" s="12" t="n"/>
    </row>
    <row r="386">
      <c r="C386" s="7" t="n"/>
      <c r="D386" s="7" t="n"/>
      <c r="G386" s="2" t="n"/>
      <c r="H386" s="12" t="n"/>
    </row>
    <row r="387">
      <c r="C387" s="7" t="n"/>
      <c r="D387" s="7" t="n"/>
      <c r="G387" s="2" t="n"/>
      <c r="H387" s="12" t="n"/>
    </row>
    <row r="388">
      <c r="C388" s="7" t="n"/>
      <c r="D388" s="7" t="n"/>
      <c r="G388" s="2" t="n"/>
      <c r="H388" s="12" t="n"/>
    </row>
    <row r="389">
      <c r="C389" s="7" t="n"/>
      <c r="D389" s="7" t="n"/>
      <c r="G389" s="2" t="n"/>
      <c r="H389" s="12" t="n"/>
    </row>
    <row r="390">
      <c r="C390" s="7" t="n"/>
      <c r="D390" s="7" t="n"/>
      <c r="G390" s="2" t="n"/>
      <c r="H390" s="12" t="n"/>
    </row>
    <row r="391">
      <c r="C391" s="7" t="n"/>
      <c r="D391" s="7" t="n"/>
      <c r="G391" s="2" t="n"/>
      <c r="H391" s="12" t="n"/>
    </row>
    <row r="392">
      <c r="C392" s="7" t="n"/>
      <c r="D392" s="7" t="n"/>
      <c r="G392" s="2" t="n"/>
      <c r="H392" s="12" t="n"/>
    </row>
    <row r="393">
      <c r="C393" s="7" t="n"/>
      <c r="D393" s="7" t="n"/>
      <c r="G393" s="2" t="n"/>
      <c r="H393" s="12" t="n"/>
    </row>
    <row r="394">
      <c r="C394" s="7" t="n"/>
      <c r="D394" s="7" t="n"/>
      <c r="G394" s="2" t="n"/>
      <c r="H394" s="12" t="n"/>
    </row>
    <row r="395">
      <c r="C395" s="7" t="n"/>
      <c r="D395" s="7" t="n"/>
      <c r="G395" s="2" t="n"/>
      <c r="H395" s="12" t="n"/>
    </row>
    <row r="396">
      <c r="C396" s="7" t="n"/>
      <c r="D396" s="7" t="n"/>
      <c r="G396" s="2" t="n"/>
      <c r="H396" s="12" t="n"/>
    </row>
    <row r="397">
      <c r="C397" s="7" t="n"/>
      <c r="D397" s="7" t="n"/>
      <c r="G397" s="2" t="n"/>
      <c r="H397" s="12" t="n"/>
    </row>
    <row r="398">
      <c r="C398" s="7" t="n"/>
      <c r="D398" s="7" t="n"/>
      <c r="G398" s="2" t="n"/>
      <c r="H398" s="12" t="n"/>
    </row>
    <row r="399">
      <c r="C399" s="7" t="n"/>
      <c r="D399" s="7" t="n"/>
      <c r="G399" s="2" t="n"/>
      <c r="H399" s="12" t="n"/>
    </row>
    <row r="400">
      <c r="C400" s="7" t="n"/>
      <c r="D400" s="7" t="n"/>
      <c r="G400" s="2" t="n"/>
      <c r="H400" s="12" t="n"/>
    </row>
    <row r="401">
      <c r="C401" s="7" t="n"/>
      <c r="D401" s="7" t="n"/>
      <c r="G401" s="2" t="n"/>
      <c r="H401" s="12" t="n"/>
    </row>
    <row r="402">
      <c r="C402" s="7" t="n"/>
      <c r="D402" s="7" t="n"/>
      <c r="G402" s="2" t="n"/>
      <c r="H402" s="12" t="n"/>
    </row>
    <row r="403">
      <c r="C403" s="7" t="n"/>
      <c r="D403" s="7" t="n"/>
      <c r="G403" s="2" t="n"/>
      <c r="H403" s="12" t="n"/>
    </row>
    <row r="404">
      <c r="C404" s="7" t="n"/>
      <c r="D404" s="7" t="n"/>
      <c r="G404" s="2" t="n"/>
      <c r="H404" s="12" t="n"/>
    </row>
    <row r="405">
      <c r="C405" s="7" t="n"/>
      <c r="D405" s="7" t="n"/>
      <c r="G405" s="2" t="n"/>
      <c r="H405" s="12" t="n"/>
    </row>
    <row r="406">
      <c r="C406" s="7" t="n"/>
      <c r="D406" s="7" t="n"/>
      <c r="G406" s="2" t="n"/>
      <c r="H406" s="12" t="n"/>
    </row>
    <row r="407">
      <c r="C407" s="7" t="n"/>
      <c r="D407" s="7" t="n"/>
      <c r="G407" s="2" t="n"/>
      <c r="H407" s="12" t="n"/>
    </row>
    <row r="408">
      <c r="C408" s="7" t="n"/>
      <c r="D408" s="7" t="n"/>
      <c r="G408" s="2" t="n"/>
      <c r="H408" s="12" t="n"/>
    </row>
    <row r="409">
      <c r="C409" s="7" t="n"/>
      <c r="D409" s="7" t="n"/>
      <c r="G409" s="2" t="n"/>
      <c r="H409" s="12" t="n"/>
    </row>
    <row r="410">
      <c r="C410" s="7" t="n"/>
      <c r="D410" s="7" t="n"/>
      <c r="G410" s="2" t="n"/>
      <c r="H410" s="12" t="n"/>
    </row>
    <row r="411">
      <c r="C411" s="7" t="n"/>
      <c r="D411" s="7" t="n"/>
      <c r="G411" s="2" t="n"/>
      <c r="H411" s="12" t="n"/>
    </row>
    <row r="412">
      <c r="C412" s="7" t="n"/>
      <c r="D412" s="7" t="n"/>
      <c r="G412" s="2" t="n"/>
      <c r="H412" s="12" t="n"/>
    </row>
    <row r="413">
      <c r="C413" s="7" t="n"/>
      <c r="D413" s="7" t="n"/>
      <c r="G413" s="2" t="n"/>
      <c r="H413" s="12" t="n"/>
    </row>
    <row r="414">
      <c r="C414" s="7" t="n"/>
      <c r="D414" s="7" t="n"/>
      <c r="G414" s="2" t="n"/>
      <c r="H414" s="12" t="n"/>
    </row>
    <row r="415">
      <c r="C415" s="7" t="n"/>
      <c r="D415" s="7" t="n"/>
      <c r="G415" s="2" t="n"/>
      <c r="H415" s="12" t="n"/>
    </row>
    <row r="416">
      <c r="C416" s="7" t="n"/>
      <c r="D416" s="7" t="n"/>
      <c r="G416" s="2" t="n"/>
      <c r="H416" s="12" t="n"/>
    </row>
    <row r="417">
      <c r="C417" s="7" t="n"/>
      <c r="D417" s="7" t="n"/>
      <c r="G417" s="2" t="n"/>
      <c r="H417" s="12" t="n"/>
    </row>
    <row r="418">
      <c r="C418" s="7" t="n"/>
      <c r="D418" s="7" t="n"/>
      <c r="G418" s="2" t="n"/>
      <c r="H418" s="12" t="n"/>
    </row>
    <row r="419">
      <c r="C419" s="7" t="n"/>
      <c r="D419" s="7" t="n"/>
      <c r="G419" s="2" t="n"/>
      <c r="H419" s="12" t="n"/>
    </row>
    <row r="420">
      <c r="C420" s="7" t="n"/>
      <c r="D420" s="7" t="n"/>
      <c r="G420" s="2" t="n"/>
      <c r="H420" s="12" t="n"/>
    </row>
    <row r="421">
      <c r="C421" s="7" t="n"/>
      <c r="D421" s="7" t="n"/>
      <c r="G421" s="2" t="n"/>
      <c r="H421" s="12" t="n"/>
    </row>
    <row r="422">
      <c r="C422" s="7" t="n"/>
      <c r="D422" s="7" t="n"/>
      <c r="G422" s="2" t="n"/>
      <c r="H422" s="12" t="n"/>
    </row>
    <row r="423">
      <c r="C423" s="7" t="n"/>
      <c r="D423" s="7" t="n"/>
      <c r="G423" s="2" t="n"/>
      <c r="H423" s="12" t="n"/>
    </row>
    <row r="424">
      <c r="C424" s="7" t="n"/>
      <c r="D424" s="7" t="n"/>
      <c r="G424" s="2" t="n"/>
      <c r="H424" s="12" t="n"/>
    </row>
    <row r="425">
      <c r="C425" s="7" t="n"/>
      <c r="D425" s="7" t="n"/>
      <c r="G425" s="2" t="n"/>
      <c r="H425" s="12" t="n"/>
    </row>
    <row r="426">
      <c r="C426" s="7" t="n"/>
      <c r="D426" s="7" t="n"/>
      <c r="G426" s="2" t="n"/>
      <c r="H426" s="12" t="n"/>
    </row>
    <row r="427">
      <c r="C427" s="7" t="n"/>
      <c r="D427" s="7" t="n"/>
      <c r="G427" s="2" t="n"/>
      <c r="H427" s="12" t="n"/>
    </row>
    <row r="428">
      <c r="C428" s="7" t="n"/>
      <c r="D428" s="7" t="n"/>
      <c r="G428" s="2" t="n"/>
      <c r="H428" s="12" t="n"/>
    </row>
    <row r="429">
      <c r="C429" s="7" t="n"/>
      <c r="D429" s="7" t="n"/>
      <c r="G429" s="2" t="n"/>
      <c r="H429" s="12" t="n"/>
    </row>
    <row r="430">
      <c r="C430" s="7" t="n"/>
      <c r="D430" s="7" t="n"/>
      <c r="G430" s="2" t="n"/>
      <c r="H430" s="12" t="n"/>
    </row>
    <row r="431">
      <c r="C431" s="7" t="n"/>
      <c r="D431" s="7" t="n"/>
      <c r="G431" s="2" t="n"/>
      <c r="H431" s="12" t="n"/>
    </row>
    <row r="432">
      <c r="C432" s="7" t="n"/>
      <c r="D432" s="7" t="n"/>
      <c r="G432" s="2" t="n"/>
      <c r="H432" s="12" t="n"/>
    </row>
    <row r="433">
      <c r="C433" s="7" t="n"/>
      <c r="D433" s="7" t="n"/>
      <c r="G433" s="2" t="n"/>
      <c r="H433" s="12" t="n"/>
    </row>
    <row r="434">
      <c r="C434" s="7" t="n"/>
      <c r="D434" s="7" t="n"/>
      <c r="G434" s="2" t="n"/>
      <c r="H434" s="12" t="n"/>
    </row>
    <row r="435">
      <c r="C435" s="7" t="n"/>
      <c r="D435" s="7" t="n"/>
      <c r="G435" s="2" t="n"/>
      <c r="H435" s="12" t="n"/>
    </row>
    <row r="436">
      <c r="C436" s="7" t="n"/>
      <c r="D436" s="7" t="n"/>
      <c r="G436" s="2" t="n"/>
      <c r="H436" s="12" t="n"/>
    </row>
    <row r="437">
      <c r="C437" s="7" t="n"/>
      <c r="D437" s="7" t="n"/>
      <c r="G437" s="2" t="n"/>
      <c r="H437" s="12" t="n"/>
    </row>
    <row r="438">
      <c r="C438" s="7" t="n"/>
      <c r="D438" s="7" t="n"/>
      <c r="G438" s="2" t="n"/>
      <c r="H438" s="12" t="n"/>
    </row>
    <row r="439">
      <c r="C439" s="7" t="n"/>
      <c r="D439" s="7" t="n"/>
      <c r="G439" s="2" t="n"/>
      <c r="H439" s="12" t="n"/>
    </row>
    <row r="440">
      <c r="C440" s="7" t="n"/>
      <c r="D440" s="7" t="n"/>
      <c r="G440" s="2" t="n"/>
      <c r="H440" s="12" t="n"/>
    </row>
    <row r="441">
      <c r="C441" s="7" t="n"/>
      <c r="D441" s="7" t="n"/>
      <c r="G441" s="2" t="n"/>
      <c r="H441" s="12" t="n"/>
    </row>
    <row r="442">
      <c r="C442" s="7" t="n"/>
      <c r="D442" s="7" t="n"/>
      <c r="G442" s="2" t="n"/>
      <c r="H442" s="12" t="n"/>
    </row>
    <row r="443">
      <c r="C443" s="7" t="n"/>
      <c r="D443" s="7" t="n"/>
      <c r="G443" s="2" t="n"/>
      <c r="H443" s="12" t="n"/>
    </row>
    <row r="444">
      <c r="C444" s="7" t="n"/>
      <c r="D444" s="7" t="n"/>
      <c r="G444" s="2" t="n"/>
      <c r="H444" s="12" t="n"/>
    </row>
    <row r="445">
      <c r="C445" s="7" t="n"/>
      <c r="D445" s="7" t="n"/>
      <c r="G445" s="2" t="n"/>
      <c r="H445" s="12" t="n"/>
    </row>
    <row r="446">
      <c r="C446" s="7" t="n"/>
      <c r="D446" s="7" t="n"/>
      <c r="G446" s="2" t="n"/>
      <c r="H446" s="12" t="n"/>
    </row>
    <row r="447">
      <c r="C447" s="7" t="n"/>
      <c r="D447" s="7" t="n"/>
      <c r="G447" s="2" t="n"/>
      <c r="H447" s="12" t="n"/>
    </row>
    <row r="448">
      <c r="C448" s="7" t="n"/>
      <c r="D448" s="7" t="n"/>
      <c r="G448" s="2" t="n"/>
      <c r="H448" s="12" t="n"/>
    </row>
    <row r="449">
      <c r="C449" s="7" t="n"/>
      <c r="D449" s="7" t="n"/>
      <c r="G449" s="2" t="n"/>
      <c r="H449" s="12" t="n"/>
    </row>
    <row r="450">
      <c r="C450" s="7" t="n"/>
      <c r="D450" s="7" t="n"/>
      <c r="G450" s="2" t="n"/>
      <c r="H450" s="12" t="n"/>
    </row>
    <row r="451">
      <c r="C451" s="7" t="n"/>
      <c r="D451" s="7" t="n"/>
      <c r="G451" s="2" t="n"/>
      <c r="H451" s="12" t="n"/>
    </row>
    <row r="452">
      <c r="C452" s="7" t="n"/>
      <c r="D452" s="7" t="n"/>
      <c r="G452" s="2" t="n"/>
      <c r="H452" s="12" t="n"/>
    </row>
    <row r="453">
      <c r="C453" s="7" t="n"/>
      <c r="D453" s="7" t="n"/>
      <c r="G453" s="2" t="n"/>
      <c r="H453" s="12" t="n"/>
    </row>
    <row r="454">
      <c r="C454" s="7" t="n"/>
      <c r="D454" s="7" t="n"/>
      <c r="G454" s="2" t="n"/>
      <c r="H454" s="12" t="n"/>
    </row>
    <row r="455">
      <c r="C455" s="7" t="n"/>
      <c r="D455" s="7" t="n"/>
      <c r="G455" s="2" t="n"/>
      <c r="H455" s="12" t="n"/>
    </row>
    <row r="456">
      <c r="C456" s="7" t="n"/>
      <c r="D456" s="7" t="n"/>
      <c r="G456" s="2" t="n"/>
      <c r="H456" s="12" t="n"/>
    </row>
    <row r="457">
      <c r="C457" s="7" t="n"/>
      <c r="D457" s="7" t="n"/>
      <c r="G457" s="2" t="n"/>
      <c r="H457" s="12" t="n"/>
    </row>
    <row r="458">
      <c r="C458" s="7" t="n"/>
      <c r="D458" s="7" t="n"/>
      <c r="G458" s="2" t="n"/>
      <c r="H458" s="12" t="n"/>
    </row>
    <row r="459">
      <c r="C459" s="7" t="n"/>
      <c r="D459" s="7" t="n"/>
      <c r="G459" s="2" t="n"/>
      <c r="H459" s="12" t="n"/>
    </row>
    <row r="460">
      <c r="C460" s="7" t="n"/>
      <c r="D460" s="7" t="n"/>
      <c r="G460" s="2" t="n"/>
      <c r="H460" s="12" t="n"/>
    </row>
    <row r="461">
      <c r="C461" s="7" t="n"/>
      <c r="D461" s="7" t="n"/>
      <c r="G461" s="2" t="n"/>
      <c r="H461" s="12" t="n"/>
    </row>
    <row r="462">
      <c r="C462" s="7" t="n"/>
      <c r="D462" s="7" t="n"/>
      <c r="G462" s="2" t="n"/>
      <c r="H462" s="12" t="n"/>
    </row>
    <row r="463">
      <c r="C463" s="7" t="n"/>
      <c r="D463" s="7" t="n"/>
      <c r="G463" s="2" t="n"/>
      <c r="H463" s="12" t="n"/>
    </row>
    <row r="464">
      <c r="C464" s="7" t="n"/>
      <c r="D464" s="7" t="n"/>
      <c r="G464" s="2" t="n"/>
      <c r="H464" s="12" t="n"/>
    </row>
    <row r="465">
      <c r="C465" s="7" t="n"/>
      <c r="D465" s="7" t="n"/>
      <c r="G465" s="2" t="n"/>
      <c r="H465" s="12" t="n"/>
    </row>
    <row r="466">
      <c r="C466" s="7" t="n"/>
      <c r="D466" s="7" t="n"/>
      <c r="G466" s="2" t="n"/>
      <c r="H466" s="12" t="n"/>
    </row>
    <row r="467">
      <c r="C467" s="7" t="n"/>
      <c r="D467" s="7" t="n"/>
      <c r="G467" s="2" t="n"/>
      <c r="H467" s="12" t="n"/>
    </row>
    <row r="468">
      <c r="C468" s="7" t="n"/>
      <c r="D468" s="7" t="n"/>
      <c r="G468" s="2" t="n"/>
      <c r="H468" s="12" t="n"/>
    </row>
    <row r="469">
      <c r="C469" s="7" t="n"/>
      <c r="D469" s="7" t="n"/>
      <c r="G469" s="2" t="n"/>
      <c r="H469" s="12" t="n"/>
    </row>
    <row r="470">
      <c r="C470" s="7" t="n"/>
      <c r="D470" s="7" t="n"/>
      <c r="G470" s="2" t="n"/>
      <c r="H470" s="12" t="n"/>
    </row>
    <row r="471">
      <c r="C471" s="7" t="n"/>
      <c r="D471" s="7" t="n"/>
      <c r="G471" s="2" t="n"/>
      <c r="H471" s="12" t="n"/>
    </row>
    <row r="472">
      <c r="C472" s="7" t="n"/>
      <c r="D472" s="7" t="n"/>
      <c r="G472" s="2" t="n"/>
      <c r="H472" s="12" t="n"/>
    </row>
    <row r="473">
      <c r="C473" s="7" t="n"/>
      <c r="D473" s="7" t="n"/>
      <c r="G473" s="2" t="n"/>
      <c r="H473" s="12" t="n"/>
    </row>
    <row r="474">
      <c r="C474" s="7" t="n"/>
      <c r="D474" s="7" t="n"/>
      <c r="G474" s="2" t="n"/>
      <c r="H474" s="12" t="n"/>
    </row>
    <row r="475">
      <c r="C475" s="7" t="n"/>
      <c r="D475" s="7" t="n"/>
      <c r="G475" s="2" t="n"/>
      <c r="H475" s="12" t="n"/>
    </row>
    <row r="476">
      <c r="C476" s="7" t="n"/>
      <c r="D476" s="7" t="n"/>
      <c r="G476" s="2" t="n"/>
      <c r="H476" s="12" t="n"/>
    </row>
    <row r="477">
      <c r="C477" s="7" t="n"/>
      <c r="D477" s="7" t="n"/>
      <c r="G477" s="2" t="n"/>
      <c r="H477" s="12" t="n"/>
    </row>
    <row r="478">
      <c r="C478" s="7" t="n"/>
      <c r="D478" s="7" t="n"/>
      <c r="G478" s="2" t="n"/>
      <c r="H478" s="12" t="n"/>
    </row>
    <row r="479">
      <c r="C479" s="7" t="n"/>
      <c r="D479" s="7" t="n"/>
      <c r="G479" s="2" t="n"/>
      <c r="H479" s="12" t="n"/>
    </row>
    <row r="480">
      <c r="C480" s="7" t="n"/>
      <c r="D480" s="7" t="n"/>
      <c r="G480" s="2" t="n"/>
      <c r="H480" s="12" t="n"/>
    </row>
    <row r="481">
      <c r="C481" s="7" t="n"/>
      <c r="D481" s="7" t="n"/>
      <c r="G481" s="2" t="n"/>
      <c r="H481" s="12" t="n"/>
    </row>
    <row r="482">
      <c r="C482" s="7" t="n"/>
      <c r="D482" s="7" t="n"/>
      <c r="G482" s="2" t="n"/>
      <c r="H482" s="12" t="n"/>
    </row>
    <row r="483">
      <c r="C483" s="7" t="n"/>
      <c r="D483" s="7" t="n"/>
      <c r="G483" s="2" t="n"/>
      <c r="H483" s="12" t="n"/>
    </row>
    <row r="484">
      <c r="C484" s="7" t="n"/>
      <c r="D484" s="7" t="n"/>
      <c r="G484" s="2" t="n"/>
      <c r="H484" s="12" t="n"/>
    </row>
    <row r="485">
      <c r="C485" s="7" t="n"/>
      <c r="D485" s="7" t="n"/>
      <c r="G485" s="2" t="n"/>
      <c r="H485" s="12" t="n"/>
    </row>
    <row r="486">
      <c r="C486" s="7" t="n"/>
      <c r="D486" s="7" t="n"/>
      <c r="G486" s="2" t="n"/>
      <c r="H486" s="12" t="n"/>
    </row>
    <row r="487">
      <c r="C487" s="7" t="n"/>
      <c r="D487" s="7" t="n"/>
      <c r="G487" s="2" t="n"/>
      <c r="H487" s="12" t="n"/>
    </row>
    <row r="488">
      <c r="C488" s="7" t="n"/>
      <c r="D488" s="7" t="n"/>
      <c r="G488" s="2" t="n"/>
      <c r="H488" s="12" t="n"/>
    </row>
    <row r="489">
      <c r="C489" s="7" t="n"/>
      <c r="D489" s="7" t="n"/>
      <c r="G489" s="2" t="n"/>
      <c r="H489" s="12" t="n"/>
    </row>
    <row r="490">
      <c r="C490" s="7" t="n"/>
      <c r="D490" s="7" t="n"/>
      <c r="G490" s="2" t="n"/>
      <c r="H490" s="12" t="n"/>
    </row>
    <row r="491">
      <c r="C491" s="7" t="n"/>
      <c r="D491" s="7" t="n"/>
      <c r="G491" s="2" t="n"/>
      <c r="H491" s="12" t="n"/>
    </row>
    <row r="492">
      <c r="C492" s="7" t="n"/>
      <c r="D492" s="7" t="n"/>
      <c r="G492" s="2" t="n"/>
      <c r="H492" s="12" t="n"/>
    </row>
    <row r="493">
      <c r="C493" s="7" t="n"/>
      <c r="D493" s="7" t="n"/>
      <c r="G493" s="2" t="n"/>
      <c r="H493" s="12" t="n"/>
    </row>
    <row r="494">
      <c r="C494" s="7" t="n"/>
      <c r="D494" s="7" t="n"/>
      <c r="G494" s="2" t="n"/>
      <c r="H494" s="12" t="n"/>
    </row>
    <row r="495">
      <c r="C495" s="7" t="n"/>
      <c r="D495" s="7" t="n"/>
      <c r="G495" s="2" t="n"/>
      <c r="H495" s="12" t="n"/>
    </row>
    <row r="496">
      <c r="C496" s="7" t="n"/>
      <c r="D496" s="7" t="n"/>
      <c r="G496" s="2" t="n"/>
      <c r="H496" s="12" t="n"/>
    </row>
    <row r="497">
      <c r="C497" s="7" t="n"/>
      <c r="D497" s="7" t="n"/>
      <c r="G497" s="2" t="n"/>
      <c r="H497" s="12" t="n"/>
    </row>
    <row r="498">
      <c r="C498" s="7" t="n"/>
      <c r="D498" s="7" t="n"/>
      <c r="G498" s="2" t="n"/>
      <c r="H498" s="12" t="n"/>
    </row>
    <row r="499">
      <c r="C499" s="7" t="n"/>
      <c r="D499" s="7" t="n"/>
      <c r="G499" s="2" t="n"/>
      <c r="H499" s="12" t="n"/>
    </row>
    <row r="500">
      <c r="C500" s="7" t="n"/>
      <c r="D500" s="7" t="n"/>
      <c r="G500" s="2" t="n"/>
      <c r="H500" s="12" t="n"/>
    </row>
    <row r="501">
      <c r="C501" s="7" t="n"/>
      <c r="D501" s="7" t="n"/>
      <c r="G501" s="2" t="n"/>
      <c r="H501" s="12" t="n"/>
    </row>
    <row r="502">
      <c r="C502" s="7" t="n"/>
      <c r="D502" s="7" t="n"/>
      <c r="G502" s="2" t="n"/>
      <c r="H502" s="12" t="n"/>
    </row>
    <row r="503">
      <c r="C503" s="7" t="n"/>
      <c r="D503" s="7" t="n"/>
      <c r="G503" s="2" t="n"/>
      <c r="H503" s="12" t="n"/>
    </row>
    <row r="504">
      <c r="C504" s="7" t="n"/>
      <c r="D504" s="7" t="n"/>
      <c r="G504" s="2" t="n"/>
      <c r="H504" s="12" t="n"/>
    </row>
    <row r="505">
      <c r="C505" s="7" t="n"/>
      <c r="D505" s="7" t="n"/>
      <c r="G505" s="2" t="n"/>
      <c r="H505" s="12" t="n"/>
    </row>
    <row r="506">
      <c r="C506" s="7" t="n"/>
      <c r="D506" s="7" t="n"/>
      <c r="G506" s="2" t="n"/>
      <c r="H506" s="12" t="n"/>
    </row>
    <row r="507">
      <c r="C507" s="7" t="n"/>
      <c r="D507" s="7" t="n"/>
      <c r="G507" s="2" t="n"/>
      <c r="H507" s="12" t="n"/>
    </row>
    <row r="508">
      <c r="C508" s="7" t="n"/>
      <c r="D508" s="7" t="n"/>
      <c r="G508" s="2" t="n"/>
      <c r="H508" s="12" t="n"/>
    </row>
    <row r="509">
      <c r="C509" s="7" t="n"/>
      <c r="D509" s="7" t="n"/>
      <c r="G509" s="2" t="n"/>
      <c r="H509" s="12" t="n"/>
    </row>
    <row r="510">
      <c r="C510" s="7" t="n"/>
      <c r="D510" s="7" t="n"/>
      <c r="G510" s="2" t="n"/>
      <c r="H510" s="12" t="n"/>
    </row>
    <row r="511">
      <c r="C511" s="7" t="n"/>
      <c r="D511" s="7" t="n"/>
      <c r="G511" s="2" t="n"/>
      <c r="H511" s="12" t="n"/>
    </row>
    <row r="512">
      <c r="C512" s="7" t="n"/>
      <c r="D512" s="7" t="n"/>
      <c r="G512" s="2" t="n"/>
      <c r="H512" s="12" t="n"/>
    </row>
    <row r="513">
      <c r="C513" s="7" t="n"/>
      <c r="D513" s="7" t="n"/>
      <c r="G513" s="2" t="n"/>
      <c r="H513" s="12" t="n"/>
    </row>
    <row r="514">
      <c r="C514" s="7" t="n"/>
      <c r="D514" s="7" t="n"/>
      <c r="G514" s="2" t="n"/>
      <c r="H514" s="12" t="n"/>
    </row>
    <row r="515">
      <c r="C515" s="7" t="n"/>
      <c r="D515" s="7" t="n"/>
      <c r="G515" s="2" t="n"/>
      <c r="H515" s="12" t="n"/>
    </row>
    <row r="516">
      <c r="C516" s="7" t="n"/>
      <c r="D516" s="7" t="n"/>
      <c r="G516" s="2" t="n"/>
      <c r="H516" s="12" t="n"/>
    </row>
    <row r="517">
      <c r="C517" s="7" t="n"/>
      <c r="D517" s="7" t="n"/>
      <c r="G517" s="2" t="n"/>
      <c r="H517" s="12" t="n"/>
    </row>
    <row r="518">
      <c r="C518" s="7" t="n"/>
      <c r="D518" s="7" t="n"/>
      <c r="G518" s="2" t="n"/>
      <c r="H518" s="12" t="n"/>
    </row>
    <row r="519">
      <c r="C519" s="7" t="n"/>
      <c r="D519" s="7" t="n"/>
      <c r="G519" s="2" t="n"/>
      <c r="H519" s="12" t="n"/>
    </row>
    <row r="520">
      <c r="C520" s="7" t="n"/>
      <c r="D520" s="7" t="n"/>
      <c r="G520" s="2" t="n"/>
      <c r="H520" s="12" t="n"/>
    </row>
    <row r="521">
      <c r="C521" s="7" t="n"/>
      <c r="D521" s="7" t="n"/>
      <c r="G521" s="2" t="n"/>
      <c r="H521" s="12" t="n"/>
    </row>
    <row r="522">
      <c r="C522" s="7" t="n"/>
      <c r="D522" s="7" t="n"/>
      <c r="G522" s="2" t="n"/>
      <c r="H522" s="12" t="n"/>
    </row>
    <row r="523">
      <c r="C523" s="7" t="n"/>
      <c r="D523" s="7" t="n"/>
      <c r="G523" s="2" t="n"/>
      <c r="H523" s="12" t="n"/>
    </row>
    <row r="524">
      <c r="C524" s="7" t="n"/>
      <c r="D524" s="7" t="n"/>
      <c r="G524" s="2" t="n"/>
      <c r="H524" s="12" t="n"/>
    </row>
    <row r="525">
      <c r="C525" s="7" t="n"/>
      <c r="D525" s="7" t="n"/>
      <c r="G525" s="2" t="n"/>
      <c r="H525" s="12" t="n"/>
    </row>
    <row r="526">
      <c r="C526" s="7" t="n"/>
      <c r="D526" s="7" t="n"/>
      <c r="G526" s="2" t="n"/>
      <c r="H526" s="12" t="n"/>
    </row>
    <row r="527">
      <c r="C527" s="7" t="n"/>
      <c r="D527" s="7" t="n"/>
      <c r="G527" s="2" t="n"/>
      <c r="H527" s="12" t="n"/>
    </row>
    <row r="528">
      <c r="C528" s="7" t="n"/>
      <c r="D528" s="7" t="n"/>
      <c r="G528" s="2" t="n"/>
      <c r="H528" s="12" t="n"/>
    </row>
    <row r="529">
      <c r="C529" s="7" t="n"/>
      <c r="D529" s="7" t="n"/>
      <c r="G529" s="2" t="n"/>
      <c r="H529" s="12" t="n"/>
    </row>
    <row r="530">
      <c r="C530" s="7" t="n"/>
      <c r="D530" s="7" t="n"/>
      <c r="G530" s="2" t="n"/>
      <c r="H530" s="12" t="n"/>
    </row>
    <row r="531">
      <c r="C531" s="7" t="n"/>
      <c r="D531" s="7" t="n"/>
      <c r="G531" s="2" t="n"/>
      <c r="H531" s="12" t="n"/>
    </row>
    <row r="532">
      <c r="C532" s="7" t="n"/>
      <c r="D532" s="7" t="n"/>
      <c r="G532" s="2" t="n"/>
      <c r="H532" s="12" t="n"/>
    </row>
    <row r="533">
      <c r="C533" s="7" t="n"/>
      <c r="D533" s="7" t="n"/>
      <c r="G533" s="2" t="n"/>
      <c r="H533" s="12" t="n"/>
    </row>
    <row r="534">
      <c r="C534" s="7" t="n"/>
      <c r="D534" s="7" t="n"/>
      <c r="G534" s="2" t="n"/>
      <c r="H534" s="12" t="n"/>
    </row>
    <row r="535">
      <c r="C535" s="7" t="n"/>
      <c r="D535" s="7" t="n"/>
      <c r="G535" s="2" t="n"/>
      <c r="H535" s="12" t="n"/>
    </row>
    <row r="536">
      <c r="C536" s="7" t="n"/>
      <c r="D536" s="7" t="n"/>
      <c r="G536" s="2" t="n"/>
      <c r="H536" s="12" t="n"/>
    </row>
    <row r="537">
      <c r="C537" s="7" t="n"/>
      <c r="D537" s="7" t="n"/>
      <c r="G537" s="2" t="n"/>
      <c r="H537" s="12" t="n"/>
    </row>
    <row r="538">
      <c r="C538" s="7" t="n"/>
      <c r="D538" s="7" t="n"/>
      <c r="G538" s="2" t="n"/>
      <c r="H538" s="12" t="n"/>
    </row>
    <row r="539">
      <c r="C539" s="7" t="n"/>
      <c r="D539" s="7" t="n"/>
      <c r="G539" s="2" t="n"/>
      <c r="H539" s="12" t="n"/>
    </row>
    <row r="540">
      <c r="C540" s="7" t="n"/>
      <c r="D540" s="7" t="n"/>
      <c r="G540" s="2" t="n"/>
      <c r="H540" s="12" t="n"/>
    </row>
    <row r="541">
      <c r="C541" s="7" t="n"/>
      <c r="D541" s="7" t="n"/>
      <c r="G541" s="2" t="n"/>
      <c r="H541" s="12" t="n"/>
      <c r="O541" s="3" t="n"/>
    </row>
    <row r="542">
      <c r="C542" s="7" t="n"/>
      <c r="D542" s="7" t="n"/>
      <c r="G542" s="2" t="n"/>
      <c r="H542" s="12" t="n"/>
    </row>
    <row r="543">
      <c r="C543" s="7" t="n"/>
      <c r="D543" s="7" t="n"/>
      <c r="G543" s="2" t="n"/>
      <c r="H543" s="12" t="n"/>
    </row>
    <row r="544">
      <c r="C544" s="7" t="n"/>
      <c r="D544" s="7" t="n"/>
      <c r="G544" s="2" t="n"/>
      <c r="H544" s="12" t="n"/>
    </row>
    <row r="545">
      <c r="C545" s="7" t="n"/>
      <c r="D545" s="7" t="n"/>
      <c r="G545" s="2" t="n"/>
      <c r="H545" s="12" t="n"/>
    </row>
    <row r="546">
      <c r="C546" s="7" t="n"/>
      <c r="D546" s="7" t="n"/>
      <c r="G546" s="2" t="n"/>
      <c r="H546" s="12" t="n"/>
    </row>
    <row r="547">
      <c r="C547" s="7" t="n"/>
      <c r="D547" s="7" t="n"/>
      <c r="G547" s="2" t="n"/>
      <c r="H547" s="12" t="n"/>
    </row>
    <row r="548">
      <c r="C548" s="7" t="n"/>
      <c r="D548" s="7" t="n"/>
      <c r="G548" s="2" t="n"/>
      <c r="H548" s="12" t="n"/>
    </row>
    <row r="549">
      <c r="C549" s="7" t="n"/>
      <c r="D549" s="7" t="n"/>
      <c r="G549" s="2" t="n"/>
      <c r="H549" s="12" t="n"/>
    </row>
    <row r="550">
      <c r="C550" s="7" t="n"/>
      <c r="D550" s="7" t="n"/>
      <c r="G550" s="2" t="n"/>
      <c r="H550" s="12" t="n"/>
    </row>
    <row r="551">
      <c r="C551" s="7" t="n"/>
      <c r="D551" s="7" t="n"/>
      <c r="G551" s="2" t="n"/>
      <c r="H551" s="12" t="n"/>
    </row>
    <row r="552">
      <c r="C552" s="7" t="n"/>
      <c r="D552" s="7" t="n"/>
      <c r="G552" s="2" t="n"/>
      <c r="H552" s="12" t="n"/>
    </row>
    <row r="553">
      <c r="C553" s="7" t="n"/>
      <c r="D553" s="7" t="n"/>
      <c r="G553" s="2" t="n"/>
      <c r="H553" s="12" t="n"/>
    </row>
    <row r="554">
      <c r="C554" s="7" t="n"/>
      <c r="D554" s="7" t="n"/>
      <c r="G554" s="2" t="n"/>
      <c r="H554" s="12" t="n"/>
    </row>
    <row r="555">
      <c r="C555" s="7" t="n"/>
      <c r="D555" s="7" t="n"/>
      <c r="G555" s="2" t="n"/>
      <c r="H555" s="12" t="n"/>
    </row>
    <row r="556">
      <c r="C556" s="7" t="n"/>
      <c r="D556" s="7" t="n"/>
      <c r="G556" s="2" t="n"/>
      <c r="H556" s="12" t="n"/>
    </row>
    <row r="557">
      <c r="C557" s="7" t="n"/>
      <c r="D557" s="7" t="n"/>
      <c r="G557" s="2" t="n"/>
      <c r="H557" s="12" t="n"/>
    </row>
    <row r="558">
      <c r="C558" s="7" t="n"/>
      <c r="D558" s="7" t="n"/>
      <c r="G558" s="2" t="n"/>
      <c r="H558" s="12" t="n"/>
    </row>
    <row r="559">
      <c r="C559" s="7" t="n"/>
      <c r="D559" s="7" t="n"/>
      <c r="G559" s="2" t="n"/>
      <c r="H559" s="12" t="n"/>
    </row>
    <row r="560">
      <c r="C560" s="7" t="n"/>
      <c r="D560" s="7" t="n"/>
      <c r="G560" s="2" t="n"/>
      <c r="H560" s="12" t="n"/>
    </row>
    <row r="561">
      <c r="C561" s="7" t="n"/>
      <c r="D561" s="7" t="n"/>
      <c r="G561" s="2" t="n"/>
      <c r="H561" s="12" t="n"/>
    </row>
    <row r="562">
      <c r="C562" s="7" t="n"/>
      <c r="D562" s="7" t="n"/>
      <c r="G562" s="2" t="n"/>
      <c r="H562" s="12" t="n"/>
    </row>
    <row r="563">
      <c r="C563" s="7" t="n"/>
      <c r="D563" s="7" t="n"/>
      <c r="G563" s="2" t="n"/>
      <c r="H563" s="12" t="n"/>
    </row>
    <row r="564">
      <c r="C564" s="7" t="n"/>
      <c r="D564" s="7" t="n"/>
      <c r="G564" s="2" t="n"/>
      <c r="H564" s="12" t="n"/>
    </row>
    <row r="565">
      <c r="C565" s="7" t="n"/>
      <c r="D565" s="7" t="n"/>
      <c r="G565" s="2" t="n"/>
      <c r="H565" s="12" t="n"/>
    </row>
    <row r="566">
      <c r="C566" s="7" t="n"/>
      <c r="D566" s="7" t="n"/>
      <c r="G566" s="2" t="n"/>
      <c r="H566" s="12" t="n"/>
    </row>
    <row r="567">
      <c r="C567" s="7" t="n"/>
      <c r="D567" s="7" t="n"/>
      <c r="G567" s="2" t="n"/>
      <c r="H567" s="12" t="n"/>
    </row>
    <row r="568">
      <c r="C568" s="7" t="n"/>
      <c r="D568" s="7" t="n"/>
      <c r="G568" s="2" t="n"/>
      <c r="H568" s="12" t="n"/>
    </row>
    <row r="569">
      <c r="C569" s="7" t="n"/>
      <c r="D569" s="7" t="n"/>
      <c r="G569" s="2" t="n"/>
      <c r="H569" s="12" t="n"/>
    </row>
    <row r="570">
      <c r="C570" s="7" t="n"/>
      <c r="D570" s="7" t="n"/>
      <c r="G570" s="2" t="n"/>
      <c r="H570" s="12" t="n"/>
    </row>
    <row r="571">
      <c r="C571" s="7" t="n"/>
      <c r="D571" s="7" t="n"/>
      <c r="G571" s="2" t="n"/>
      <c r="H571" s="12" t="n"/>
    </row>
    <row r="572">
      <c r="C572" s="7" t="n"/>
      <c r="D572" s="7" t="n"/>
      <c r="G572" s="2" t="n"/>
      <c r="H572" s="12" t="n"/>
    </row>
    <row r="573">
      <c r="C573" s="7" t="n"/>
      <c r="D573" s="7" t="n"/>
      <c r="G573" s="2" t="n"/>
      <c r="H573" s="12" t="n"/>
    </row>
    <row r="574">
      <c r="C574" s="7" t="n"/>
      <c r="D574" s="7" t="n"/>
      <c r="G574" s="2" t="n"/>
      <c r="H574" s="12" t="n"/>
    </row>
    <row r="575">
      <c r="C575" s="7" t="n"/>
      <c r="D575" s="7" t="n"/>
      <c r="G575" s="2" t="n"/>
      <c r="H575" s="12" t="n"/>
    </row>
    <row r="576">
      <c r="C576" s="7" t="n"/>
      <c r="D576" s="7" t="n"/>
      <c r="G576" s="2" t="n"/>
      <c r="H576" s="12" t="n"/>
    </row>
    <row r="577">
      <c r="C577" s="7" t="n"/>
      <c r="D577" s="7" t="n"/>
      <c r="G577" s="2" t="n"/>
      <c r="H577" s="12" t="n"/>
    </row>
    <row r="578">
      <c r="C578" s="7" t="n"/>
      <c r="D578" s="7" t="n"/>
      <c r="G578" s="2" t="n"/>
      <c r="H578" s="12" t="n"/>
    </row>
    <row r="579">
      <c r="C579" s="7" t="n"/>
      <c r="D579" s="7" t="n"/>
      <c r="G579" s="2" t="n"/>
      <c r="H579" s="12" t="n"/>
    </row>
    <row r="580">
      <c r="C580" s="7" t="n"/>
      <c r="D580" s="7" t="n"/>
      <c r="G580" s="2" t="n"/>
      <c r="H580" s="12" t="n"/>
    </row>
    <row r="581">
      <c r="C581" s="7" t="n"/>
      <c r="D581" s="7" t="n"/>
      <c r="G581" s="2" t="n"/>
      <c r="H581" s="12" t="n"/>
    </row>
    <row r="582">
      <c r="C582" s="7" t="n"/>
      <c r="D582" s="7" t="n"/>
      <c r="G582" s="2" t="n"/>
      <c r="H582" s="12" t="n"/>
    </row>
    <row r="583">
      <c r="C583" s="7" t="n"/>
      <c r="D583" s="7" t="n"/>
      <c r="G583" s="2" t="n"/>
      <c r="H583" s="12" t="n"/>
    </row>
    <row r="584">
      <c r="C584" s="7" t="n"/>
      <c r="D584" s="7" t="n"/>
      <c r="G584" s="2" t="n"/>
      <c r="H584" s="12" t="n"/>
    </row>
    <row r="585">
      <c r="C585" s="7" t="n"/>
      <c r="D585" s="7" t="n"/>
      <c r="G585" s="2" t="n"/>
      <c r="H585" s="12" t="n"/>
    </row>
    <row r="586">
      <c r="C586" s="7" t="n"/>
      <c r="D586" s="7" t="n"/>
      <c r="G586" s="2" t="n"/>
      <c r="H586" s="12" t="n"/>
    </row>
    <row r="587">
      <c r="C587" s="7" t="n"/>
      <c r="D587" s="7" t="n"/>
      <c r="G587" s="2" t="n"/>
      <c r="H587" s="12" t="n"/>
    </row>
    <row r="588">
      <c r="C588" s="7" t="n"/>
      <c r="D588" s="7" t="n"/>
      <c r="G588" s="2" t="n"/>
      <c r="H588" s="12" t="n"/>
    </row>
    <row r="589">
      <c r="C589" s="7" t="n"/>
      <c r="D589" s="7" t="n"/>
      <c r="G589" s="2" t="n"/>
      <c r="H589" s="12" t="n"/>
    </row>
    <row r="590">
      <c r="C590" s="7" t="n"/>
      <c r="D590" s="7" t="n"/>
      <c r="G590" s="2" t="n"/>
      <c r="H590" s="12" t="n"/>
    </row>
    <row r="591">
      <c r="C591" s="7" t="n"/>
      <c r="D591" s="7" t="n"/>
      <c r="G591" s="2" t="n"/>
      <c r="H591" s="12" t="n"/>
    </row>
    <row r="592">
      <c r="C592" s="7" t="n"/>
      <c r="D592" s="7" t="n"/>
      <c r="G592" s="2" t="n"/>
      <c r="H592" s="12" t="n"/>
    </row>
    <row r="593">
      <c r="C593" s="7" t="n"/>
      <c r="D593" s="7" t="n"/>
      <c r="G593" s="2" t="n"/>
      <c r="H593" s="12" t="n"/>
    </row>
    <row r="594">
      <c r="C594" s="7" t="n"/>
      <c r="D594" s="7" t="n"/>
      <c r="G594" s="2" t="n"/>
      <c r="H594" s="12" t="n"/>
    </row>
    <row r="595">
      <c r="C595" s="7" t="n"/>
      <c r="D595" s="7" t="n"/>
      <c r="G595" s="2" t="n"/>
      <c r="H595" s="12" t="n"/>
    </row>
    <row r="596">
      <c r="C596" s="7" t="n"/>
      <c r="D596" s="7" t="n"/>
      <c r="G596" s="2" t="n"/>
      <c r="H596" s="12" t="n"/>
    </row>
    <row r="597">
      <c r="C597" s="7" t="n"/>
      <c r="D597" s="7" t="n"/>
      <c r="G597" s="2" t="n"/>
      <c r="H597" s="12" t="n"/>
    </row>
    <row r="598">
      <c r="C598" s="7" t="n"/>
      <c r="D598" s="7" t="n"/>
      <c r="G598" s="2" t="n"/>
      <c r="H598" s="12" t="n"/>
    </row>
    <row r="599">
      <c r="C599" s="7" t="n"/>
      <c r="D599" s="7" t="n"/>
      <c r="G599" s="2" t="n"/>
      <c r="H599" s="12" t="n"/>
    </row>
    <row r="600">
      <c r="C600" s="7" t="n"/>
      <c r="D600" s="7" t="n"/>
      <c r="G600" s="2" t="n"/>
      <c r="H600" s="12" t="n"/>
    </row>
    <row r="601">
      <c r="C601" s="7" t="n"/>
      <c r="D601" s="7" t="n"/>
      <c r="G601" s="2" t="n"/>
      <c r="H601" s="12" t="n"/>
    </row>
    <row r="602">
      <c r="C602" s="7" t="n"/>
      <c r="D602" s="7" t="n"/>
      <c r="G602" s="2" t="n"/>
      <c r="H602" s="12" t="n"/>
    </row>
    <row r="603">
      <c r="C603" s="7" t="n"/>
      <c r="D603" s="7" t="n"/>
      <c r="G603" s="2" t="n"/>
      <c r="H603" s="12" t="n"/>
    </row>
    <row r="604">
      <c r="C604" s="7" t="n"/>
      <c r="D604" s="7" t="n"/>
      <c r="G604" s="2" t="n"/>
      <c r="H604" s="12" t="n"/>
    </row>
    <row r="605">
      <c r="C605" s="7" t="n"/>
      <c r="D605" s="7" t="n"/>
      <c r="G605" s="2" t="n"/>
      <c r="H605" s="12" t="n"/>
    </row>
    <row r="606">
      <c r="C606" s="7" t="n"/>
      <c r="D606" s="7" t="n"/>
      <c r="G606" s="2" t="n"/>
      <c r="H606" s="12" t="n"/>
    </row>
    <row r="607">
      <c r="C607" s="7" t="n"/>
      <c r="D607" s="7" t="n"/>
      <c r="G607" s="2" t="n"/>
      <c r="H607" s="12" t="n"/>
    </row>
    <row r="608">
      <c r="C608" s="7" t="n"/>
      <c r="D608" s="7" t="n"/>
      <c r="G608" s="2" t="n"/>
      <c r="H608" s="12" t="n"/>
    </row>
    <row r="609">
      <c r="C609" s="7" t="n"/>
      <c r="D609" s="7" t="n"/>
      <c r="G609" s="2" t="n"/>
      <c r="H609" s="12" t="n"/>
    </row>
    <row r="610">
      <c r="C610" s="7" t="n"/>
      <c r="D610" s="7" t="n"/>
      <c r="G610" s="2" t="n"/>
      <c r="H610" s="12" t="n"/>
    </row>
    <row r="611">
      <c r="C611" s="7" t="n"/>
      <c r="D611" s="7" t="n"/>
      <c r="G611" s="2" t="n"/>
      <c r="H611" s="12" t="n"/>
    </row>
    <row r="612">
      <c r="C612" s="7" t="n"/>
      <c r="D612" s="7" t="n"/>
      <c r="G612" s="2" t="n"/>
      <c r="H612" s="12" t="n"/>
    </row>
    <row r="613">
      <c r="C613" s="7" t="n"/>
      <c r="D613" s="7" t="n"/>
      <c r="G613" s="2" t="n"/>
      <c r="H613" s="12" t="n"/>
    </row>
    <row r="614">
      <c r="C614" s="7" t="n"/>
      <c r="D614" s="7" t="n"/>
      <c r="G614" s="2" t="n"/>
      <c r="H614" s="12" t="n"/>
    </row>
    <row r="615">
      <c r="C615" s="7" t="n"/>
      <c r="D615" s="7" t="n"/>
      <c r="G615" s="2" t="n"/>
      <c r="H615" s="12" t="n"/>
    </row>
    <row r="616">
      <c r="C616" s="7" t="n"/>
      <c r="D616" s="7" t="n"/>
      <c r="G616" s="2" t="n"/>
      <c r="H616" s="12" t="n"/>
    </row>
    <row r="617">
      <c r="C617" s="7" t="n"/>
      <c r="D617" s="7" t="n"/>
      <c r="G617" s="2" t="n"/>
      <c r="H617" s="12" t="n"/>
    </row>
    <row r="618">
      <c r="C618" s="7" t="n"/>
      <c r="D618" s="7" t="n"/>
      <c r="G618" s="2" t="n"/>
      <c r="H618" s="12" t="n"/>
    </row>
    <row r="619">
      <c r="C619" s="7" t="n"/>
      <c r="D619" s="7" t="n"/>
      <c r="G619" s="2" t="n"/>
      <c r="H619" s="12" t="n"/>
    </row>
    <row r="620">
      <c r="C620" s="7" t="n"/>
      <c r="D620" s="7" t="n"/>
      <c r="G620" s="2" t="n"/>
      <c r="H620" s="12" t="n"/>
    </row>
    <row r="621">
      <c r="C621" s="7" t="n"/>
      <c r="D621" s="7" t="n"/>
      <c r="G621" s="2" t="n"/>
      <c r="H621" s="12" t="n"/>
    </row>
    <row r="622">
      <c r="C622" s="7" t="n"/>
      <c r="D622" s="7" t="n"/>
      <c r="G622" s="2" t="n"/>
      <c r="H622" s="12" t="n"/>
    </row>
    <row r="623">
      <c r="C623" s="7" t="n"/>
      <c r="D623" s="7" t="n"/>
      <c r="G623" s="2" t="n"/>
      <c r="H623" s="12" t="n"/>
    </row>
    <row r="624">
      <c r="C624" s="7" t="n"/>
      <c r="D624" s="7" t="n"/>
      <c r="G624" s="2" t="n"/>
      <c r="H624" s="12" t="n"/>
    </row>
    <row r="625">
      <c r="C625" s="7" t="n"/>
      <c r="D625" s="7" t="n"/>
      <c r="G625" s="2" t="n"/>
      <c r="H625" s="12" t="n"/>
    </row>
  </sheetData>
  <conditionalFormatting sqref="A2:A296 A299:A1048576">
    <cfRule type="duplicateValues" priority="3" dxfId="4"/>
  </conditionalFormatting>
  <conditionalFormatting sqref="H1:H1048576">
    <cfRule type="cellIs" priority="2" operator="greaterThan" dxfId="1">
      <formula>0.0416550925925926</formula>
    </cfRule>
    <cfRule type="cellIs" priority="1" operator="greaterThan" dxfId="0">
      <formula>0.416666666666667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2026-10-26T17:05:50.3010921Z</dcterms:created>
  <dcterms:modified xsi:type="dcterms:W3CDTF">2026-10-26T17:05:50.3010921Z</dcterms:modified>
  <dc:creator>Andersson Beltre</dc:creator>
  <lastModifiedBy>Andersson Beltre</lastModifiedBy>
</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0x01010018A9AD5D19A847468C95C43D1FE111B1</vt:lpwstr>
  </property>
</Properties>
</file>